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raigallsop/Documents/PhD/Publications/Salt Caverns/"/>
    </mc:Choice>
  </mc:AlternateContent>
  <xr:revisionPtr revIDLastSave="0" documentId="13_ncr:1_{C12464B0-348B-2747-92A1-E6DAA06FD5ED}" xr6:coauthVersionLast="47" xr6:coauthVersionMax="47" xr10:uidLastSave="{00000000-0000-0000-0000-000000000000}"/>
  <bookViews>
    <workbookView xWindow="0" yWindow="500" windowWidth="28800" windowHeight="16420" xr2:uid="{00000000-000D-0000-FFFF-FFFF00000000}"/>
  </bookViews>
  <sheets>
    <sheet name="OFFSHORE" sheetId="1" r:id="rId1"/>
    <sheet name="ONSHORE" sheetId="2" r:id="rId2"/>
    <sheet name="User Instructions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" i="1" l="1"/>
  <c r="H18" i="1"/>
  <c r="H8" i="2"/>
  <c r="H5" i="2"/>
  <c r="H6" i="2"/>
  <c r="E22" i="2"/>
  <c r="E23" i="2"/>
  <c r="E23" i="1"/>
  <c r="H29" i="2"/>
  <c r="H29" i="1"/>
  <c r="E34" i="1" l="1"/>
  <c r="E33" i="1"/>
  <c r="H28" i="2"/>
  <c r="H31" i="2" s="1"/>
  <c r="H32" i="2" s="1"/>
  <c r="H33" i="2" s="1"/>
  <c r="B25" i="2"/>
  <c r="E21" i="2"/>
  <c r="E17" i="2"/>
  <c r="E16" i="2"/>
  <c r="E14" i="2"/>
  <c r="E15" i="2" s="1"/>
  <c r="E13" i="2"/>
  <c r="E12" i="2"/>
  <c r="E8" i="2"/>
  <c r="H9" i="2" s="1"/>
  <c r="H10" i="2" s="1"/>
  <c r="B6" i="2"/>
  <c r="E33" i="2" s="1"/>
  <c r="E5" i="2"/>
  <c r="E6" i="2" s="1"/>
  <c r="B29" i="1"/>
  <c r="H28" i="1"/>
  <c r="H31" i="1" s="1"/>
  <c r="H32" i="1" s="1"/>
  <c r="H33" i="1" s="1"/>
  <c r="E21" i="1"/>
  <c r="E17" i="1"/>
  <c r="E16" i="1"/>
  <c r="E14" i="1"/>
  <c r="E13" i="1"/>
  <c r="E15" i="1" s="1"/>
  <c r="E12" i="1"/>
  <c r="B10" i="1"/>
  <c r="E8" i="1"/>
  <c r="H6" i="1" s="1"/>
  <c r="H5" i="1" s="1"/>
  <c r="B8" i="1"/>
  <c r="H8" i="1" s="1"/>
  <c r="B6" i="1"/>
  <c r="J33" i="2"/>
  <c r="L14" i="2"/>
  <c r="L5" i="2"/>
  <c r="L18" i="2"/>
  <c r="L27" i="2"/>
  <c r="L7" i="2"/>
  <c r="L30" i="2"/>
  <c r="L17" i="2"/>
  <c r="L12" i="2"/>
  <c r="L32" i="2"/>
  <c r="L8" i="2"/>
  <c r="L9" i="2"/>
  <c r="L22" i="2"/>
  <c r="L13" i="2"/>
  <c r="L16" i="2"/>
  <c r="L24" i="2"/>
  <c r="L28" i="2"/>
  <c r="L15" i="2"/>
  <c r="L11" i="2"/>
  <c r="L20" i="2"/>
  <c r="L10" i="2"/>
  <c r="L25" i="2"/>
  <c r="J33" i="1"/>
  <c r="L14" i="1"/>
  <c r="L17" i="1"/>
  <c r="L9" i="1"/>
  <c r="L11" i="1"/>
  <c r="E36" i="1"/>
  <c r="L19" i="2"/>
  <c r="L23" i="2"/>
  <c r="L29" i="2"/>
  <c r="L21" i="2"/>
  <c r="L31" i="2"/>
  <c r="L6" i="2"/>
  <c r="H9" i="1" l="1"/>
  <c r="H11" i="1" s="1"/>
  <c r="L33" i="2"/>
  <c r="H7" i="2"/>
  <c r="H11" i="2"/>
  <c r="H7" i="1"/>
  <c r="B12" i="1"/>
  <c r="E31" i="1" s="1"/>
  <c r="E22" i="1"/>
  <c r="E5" i="1" s="1"/>
  <c r="E6" i="1" s="1"/>
  <c r="L5" i="1"/>
  <c r="L25" i="1"/>
  <c r="L28" i="1"/>
  <c r="L6" i="1"/>
  <c r="L12" i="1"/>
  <c r="L31" i="1"/>
  <c r="L10" i="1"/>
  <c r="L21" i="1"/>
  <c r="L7" i="1"/>
  <c r="L22" i="1"/>
  <c r="L16" i="1"/>
  <c r="L18" i="1"/>
  <c r="L32" i="1"/>
  <c r="L15" i="1"/>
  <c r="L30" i="1"/>
  <c r="L23" i="1"/>
  <c r="L20" i="1"/>
  <c r="L8" i="1"/>
  <c r="L13" i="1"/>
  <c r="L19" i="1"/>
  <c r="L27" i="1"/>
  <c r="L24" i="1"/>
  <c r="L29" i="1"/>
  <c r="H10" i="1" l="1"/>
  <c r="B8" i="2"/>
  <c r="E31" i="2" s="1"/>
  <c r="B11" i="1"/>
  <c r="N32" i="1"/>
  <c r="B7" i="2" l="1"/>
  <c r="H12" i="2"/>
  <c r="H13" i="2" s="1"/>
  <c r="H14" i="2" s="1"/>
  <c r="E34" i="2" s="1"/>
  <c r="E36" i="2"/>
  <c r="B28" i="2" l="1"/>
  <c r="H18" i="2" s="1"/>
  <c r="H19" i="2"/>
  <c r="B9" i="2"/>
  <c r="E32" i="2" s="1"/>
  <c r="E35" i="2"/>
  <c r="H21" i="2" l="1"/>
  <c r="H22" i="2" s="1"/>
  <c r="H23" i="2" s="1"/>
  <c r="H46" i="2" s="1"/>
  <c r="H20" i="2"/>
  <c r="H34" i="2" l="1"/>
  <c r="H35" i="2" s="1"/>
  <c r="H24" i="2"/>
  <c r="H12" i="1" l="1"/>
  <c r="H13" i="1" l="1"/>
  <c r="H14" i="1" s="1"/>
  <c r="H21" i="1" l="1"/>
  <c r="H22" i="1" s="1"/>
  <c r="H23" i="1" s="1"/>
  <c r="B32" i="1"/>
  <c r="B13" i="1"/>
  <c r="E32" i="1" s="1"/>
  <c r="E35" i="1"/>
  <c r="H20" i="1" l="1"/>
  <c r="H24" i="1"/>
  <c r="H34" i="1"/>
  <c r="H35" i="1" s="1"/>
</calcChain>
</file>

<file path=xl/sharedStrings.xml><?xml version="1.0" encoding="utf-8"?>
<sst xmlns="http://schemas.openxmlformats.org/spreadsheetml/2006/main" count="305" uniqueCount="148">
  <si>
    <t>Methane</t>
  </si>
  <si>
    <t>Nitrogen</t>
  </si>
  <si>
    <t>CO</t>
  </si>
  <si>
    <t>CO2</t>
  </si>
  <si>
    <t>H2S</t>
  </si>
  <si>
    <t>Oxygen</t>
  </si>
  <si>
    <t>Water</t>
  </si>
  <si>
    <t>Helium</t>
  </si>
  <si>
    <t>Hydrogen</t>
  </si>
  <si>
    <t>neopentane</t>
  </si>
  <si>
    <t xml:space="preserve">2,2-dimethylbutane </t>
  </si>
  <si>
    <t xml:space="preserve">2-methylpentane    </t>
  </si>
  <si>
    <t xml:space="preserve">3-methylpentane    </t>
  </si>
  <si>
    <t xml:space="preserve">cyclopentane       </t>
  </si>
  <si>
    <t>Fluid</t>
  </si>
  <si>
    <t>Hexane</t>
  </si>
  <si>
    <t>Heptane</t>
  </si>
  <si>
    <t>Octane</t>
  </si>
  <si>
    <t>Nonane</t>
  </si>
  <si>
    <t>Decane</t>
  </si>
  <si>
    <t>C6+44164</t>
  </si>
  <si>
    <t>Total percent:</t>
  </si>
  <si>
    <t>Argon</t>
  </si>
  <si>
    <t>Ethane</t>
  </si>
  <si>
    <t>Propane</t>
  </si>
  <si>
    <t>Isobutane</t>
  </si>
  <si>
    <t>Butane</t>
  </si>
  <si>
    <t>Isopentane</t>
  </si>
  <si>
    <t>Pentane</t>
  </si>
  <si>
    <t>Parameter</t>
  </si>
  <si>
    <t>Value</t>
  </si>
  <si>
    <t>Mole %</t>
  </si>
  <si>
    <t xml:space="preserve">Actual Comp. </t>
  </si>
  <si>
    <t>Offshore Salt Cavern H2 Storage Capacity Calculations</t>
  </si>
  <si>
    <t>Assumptions for Geostatic &amp; Cavern Operation Conditions</t>
  </si>
  <si>
    <t>Geomechanical Data</t>
  </si>
  <si>
    <t>Thermo-Physical Data</t>
  </si>
  <si>
    <t>Seabed depth (m)</t>
  </si>
  <si>
    <t>Cavern Total volume (m^3)</t>
  </si>
  <si>
    <t>Seabed pressure (bar)</t>
  </si>
  <si>
    <t>Cavern Free volume (m^3)</t>
  </si>
  <si>
    <t>Temp. at LCCS (K)</t>
  </si>
  <si>
    <t>Average temperature at seabed (°C)</t>
  </si>
  <si>
    <t>Depth to cavern roof from seabed (m)</t>
  </si>
  <si>
    <t>Temp. at cavern mid-height (°C)</t>
  </si>
  <si>
    <t>Average temperature at seabed (K)</t>
  </si>
  <si>
    <t>Depth to LCCS from seabed (m)</t>
  </si>
  <si>
    <t>Temp. at cavern mid-height (K)</t>
  </si>
  <si>
    <t>Maximum cavern diameter (m)</t>
  </si>
  <si>
    <t>Geostatic vertical stress at LCCS (bar)</t>
  </si>
  <si>
    <t>Temp. at wellhead (K)</t>
  </si>
  <si>
    <t>Cavern height (m)</t>
  </si>
  <si>
    <t>Maximum operating pressure LCCS (bar)</t>
  </si>
  <si>
    <t>Average temperature of gas column (°C)</t>
  </si>
  <si>
    <t>Height of cavern neck (m)</t>
  </si>
  <si>
    <t>Minimum operating pressure LCCS (bar)</t>
  </si>
  <si>
    <t>Average temperature of gas column (K)</t>
  </si>
  <si>
    <t>Cavern spacing [axis to axis] (m)</t>
  </si>
  <si>
    <t>Pressure at wellhead (bar)</t>
  </si>
  <si>
    <t>Average pressure  of wellhead-LCCS (Bar)</t>
  </si>
  <si>
    <t>Hanging-wall thickness (m)</t>
  </si>
  <si>
    <t>Static Pressure at LCCS (bar)</t>
  </si>
  <si>
    <t>Geothermal Gradient (°C/m)</t>
  </si>
  <si>
    <t>Foot-wall thickness (m)</t>
  </si>
  <si>
    <t>Static Presssure cavern mid-height (bar)</t>
  </si>
  <si>
    <t>Lithostatic Gradient (bar/m)</t>
  </si>
  <si>
    <t>Required vertical salt thickness (m)</t>
  </si>
  <si>
    <t>Maximum operating pressure at LCCS (%)</t>
  </si>
  <si>
    <t>Cavern height:diameter ratio [&gt; 0.5]</t>
  </si>
  <si>
    <t>Storage Capacity Estimations</t>
  </si>
  <si>
    <t>Minimum operating pressure at LCCS (%)</t>
  </si>
  <si>
    <t>Required distance from discontinuities (m)</t>
  </si>
  <si>
    <t xml:space="preserve">Volume of hydrogen at STD (Sm^3) </t>
  </si>
  <si>
    <t>Hydrogen Gas Properties</t>
  </si>
  <si>
    <t>Cavern Geometry / Volume</t>
  </si>
  <si>
    <t xml:space="preserve">Volume of hydrogen at STD in Cavern (Sm^3) </t>
  </si>
  <si>
    <t>Storage Capacity (MWh[H2])</t>
  </si>
  <si>
    <t>Gravitational acceleration  (m/s^2)</t>
  </si>
  <si>
    <t>Radius (m)</t>
  </si>
  <si>
    <t>Cushion Hydrogen to remain in cavern (Sm^3)</t>
  </si>
  <si>
    <t>Molar mass of air (kg/mole)</t>
  </si>
  <si>
    <t>Height of cylinder (m)</t>
  </si>
  <si>
    <t>Working Hydrogen Volume (Sm^3)</t>
  </si>
  <si>
    <t>Specific Gravity of H2 (-)</t>
  </si>
  <si>
    <t>Working Hydrogen Storage Capacity (MWh[H2])</t>
  </si>
  <si>
    <t>Universal gas constant (J/mol.k)</t>
  </si>
  <si>
    <t>Shape correction factor (-)</t>
  </si>
  <si>
    <t>Energy Density per cavern (MWh[H2]/Sm^3)</t>
  </si>
  <si>
    <t>Avg. Compressibilty factor wellhead-LCCS (-)</t>
  </si>
  <si>
    <t>*</t>
  </si>
  <si>
    <t>Avg. Compressibilty factor cavern mid-height (-)</t>
  </si>
  <si>
    <t>Caverns Spacing &amp; Total No. of Caverns at Site</t>
  </si>
  <si>
    <t>STD atmospheric pressure (bar)</t>
  </si>
  <si>
    <t>STD temperature (K)</t>
  </si>
  <si>
    <t>Horizontal distance required for 3 caverns (m)</t>
  </si>
  <si>
    <t>STD temperature (°C)</t>
  </si>
  <si>
    <t>Horizontal distance required for 5 caverns (m)</t>
  </si>
  <si>
    <t>STD hydrogen compressibility (-)</t>
  </si>
  <si>
    <t>Target salt horizontal section (m)</t>
  </si>
  <si>
    <t>H2 Lower heating value (kWh[H2]/Sm^3)</t>
  </si>
  <si>
    <t>Number of caverns along salt horizontal</t>
  </si>
  <si>
    <t>Hydrogen Mass (moles)</t>
  </si>
  <si>
    <t>Total number of caverns along horizontal section</t>
  </si>
  <si>
    <t xml:space="preserve">Number of caverns in target salt area </t>
  </si>
  <si>
    <t>Total Storage Capacity (MWh[H2])</t>
  </si>
  <si>
    <t>INPUT VALUE(s)</t>
  </si>
  <si>
    <t>Total Storage Capacity (TWh[H2])</t>
  </si>
  <si>
    <t>FINAL COMPUTATIONAL ANSWER(s)</t>
  </si>
  <si>
    <t>Source:</t>
  </si>
  <si>
    <t>Allsop et al., 2023: DOI</t>
  </si>
  <si>
    <t>https://doi.org/10.1144/SP528-2022-82</t>
  </si>
  <si>
    <t>Static Presssure cavern mid-height (psi)</t>
  </si>
  <si>
    <t>Average pressure  of wellhead-LCCS (psi)</t>
  </si>
  <si>
    <r>
      <t>Volume (</t>
    </r>
    <r>
      <rPr>
        <b/>
        <sz val="10"/>
        <color theme="1"/>
        <rFont val="Calibri"/>
        <family val="2"/>
        <scheme val="minor"/>
      </rPr>
      <t>CAPSULE</t>
    </r>
    <r>
      <rPr>
        <sz val="10"/>
        <rFont val="Calibri"/>
        <family val="2"/>
        <scheme val="minor"/>
      </rPr>
      <t xml:space="preserve"> Shape) (m^3)</t>
    </r>
  </si>
  <si>
    <r>
      <t xml:space="preserve">CALCULATED H2 COMPRESSIBILIITY FACTOR (Z) </t>
    </r>
    <r>
      <rPr>
        <b/>
        <i/>
        <sz val="10"/>
        <color rgb="FFFF0000"/>
        <rFont val="Calibri"/>
        <family val="2"/>
        <scheme val="minor"/>
      </rPr>
      <t>*</t>
    </r>
  </si>
  <si>
    <t>Onshore Salt Cavern H2 Storage Capacity Calculations</t>
  </si>
  <si>
    <t>Cavern Thermo-Physical Data</t>
  </si>
  <si>
    <t>Teeside H2 Salt Cavern Storage</t>
  </si>
  <si>
    <t>Temp. at wellhead (°C)</t>
  </si>
  <si>
    <t>Depth to cavern top (m)</t>
  </si>
  <si>
    <t>350-450</t>
  </si>
  <si>
    <t>15-40</t>
  </si>
  <si>
    <t>Cavern diameter (m)</t>
  </si>
  <si>
    <t>Cavern volume (m^3)</t>
  </si>
  <si>
    <t>Operating Pressure range (bar)</t>
  </si>
  <si>
    <t>45-50</t>
  </si>
  <si>
    <t xml:space="preserve">Number of Caverns </t>
  </si>
  <si>
    <t>Energy Stored (GWh[H2])</t>
  </si>
  <si>
    <t>Specific Gravity of H2</t>
  </si>
  <si>
    <t>Fluid Composition</t>
  </si>
  <si>
    <r>
      <t>^ Geomechanical Data taken from</t>
    </r>
    <r>
      <rPr>
        <b/>
        <i/>
        <sz val="8"/>
        <color rgb="FFFF0000"/>
        <rFont val="Calibri"/>
        <family val="2"/>
        <scheme val="minor"/>
      </rPr>
      <t xml:space="preserve"> TEESSIDE </t>
    </r>
    <r>
      <rPr>
        <b/>
        <sz val="8"/>
        <color theme="1"/>
        <rFont val="Calibri"/>
        <family val="2"/>
        <scheme val="minor"/>
      </rPr>
      <t>^</t>
    </r>
  </si>
  <si>
    <t>https://doi.org/10.18434/T4/1502528</t>
  </si>
  <si>
    <t>Above Source:</t>
  </si>
  <si>
    <t>Author: Craig Allsop</t>
  </si>
  <si>
    <t>Email: craig.allsop@strath.ac.uk</t>
  </si>
  <si>
    <t>Source for Calculations:</t>
  </si>
  <si>
    <t>Temp. at LCCS (°C)</t>
  </si>
  <si>
    <t>Average temperature of gas column (°F)</t>
  </si>
  <si>
    <t>Temp. at cavern mid-height (°F)</t>
  </si>
  <si>
    <t>NIST Reference Fluid Thermodynamic and Transport Properties Database (REFPROP)</t>
  </si>
  <si>
    <r>
      <t>Volume (</t>
    </r>
    <r>
      <rPr>
        <b/>
        <sz val="10"/>
        <color theme="1"/>
        <rFont val="Calibri"/>
        <family val="2"/>
        <scheme val="minor"/>
      </rPr>
      <t>ELLIPSOID</t>
    </r>
    <r>
      <rPr>
        <sz val="10"/>
        <rFont val="Calibri"/>
        <family val="2"/>
        <scheme val="minor"/>
      </rPr>
      <t xml:space="preserve"> Shape) (m^3)</t>
    </r>
  </si>
  <si>
    <t>H2 Compressibility Factor (Z)</t>
  </si>
  <si>
    <t>Eric W. Lemmon (2016)</t>
  </si>
  <si>
    <t>Peng-Robinson Equation of State (EOS)</t>
  </si>
  <si>
    <t>Shape correction factor (-) *</t>
  </si>
  <si>
    <t>Energy Stored, using our calculations (GWh[H2])</t>
  </si>
  <si>
    <r>
      <t xml:space="preserve">H of cylinder (m) </t>
    </r>
    <r>
      <rPr>
        <i/>
        <sz val="10"/>
        <color theme="1"/>
        <rFont val="Calibri"/>
        <family val="2"/>
        <scheme val="minor"/>
      </rPr>
      <t>[required for capsule geometry]</t>
    </r>
  </si>
  <si>
    <t>https://github.com/craig1allsop/H2_Salt_Cavern_Storage.git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</si>
</sst>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"/>
    <numFmt numFmtId="165" formatCode="0.000000"/>
    <numFmt numFmtId="166" formatCode="0.000"/>
  </numFmts>
  <fonts count="23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u/>
      <sz val="10"/>
      <color theme="10"/>
      <name val="Arial"/>
      <family val="2"/>
    </font>
    <font>
      <sz val="9"/>
      <color rgb="FF1F497D"/>
      <name val="Courier New"/>
      <family val="3"/>
    </font>
    <font>
      <b/>
      <i/>
      <sz val="14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rgb="FF000000"/>
      </bottom>
      <diagonal/>
    </border>
    <border>
      <left/>
      <right style="thin">
        <color theme="1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0">
    <xf numFmtId="0" fontId="0" fillId="0" borderId="0" xfId="0"/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164" fontId="6" fillId="0" borderId="0" xfId="0" applyNumberFormat="1" applyFont="1" applyAlignment="1">
      <alignment vertical="center"/>
    </xf>
    <xf numFmtId="0" fontId="4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7" fillId="0" borderId="0" xfId="0" applyFont="1"/>
    <xf numFmtId="0" fontId="8" fillId="0" borderId="0" xfId="0" applyFont="1"/>
    <xf numFmtId="0" fontId="9" fillId="0" borderId="3" xfId="0" applyFont="1" applyBorder="1" applyAlignment="1">
      <alignment horizontal="right"/>
    </xf>
    <xf numFmtId="0" fontId="9" fillId="0" borderId="3" xfId="0" applyFont="1" applyBorder="1"/>
    <xf numFmtId="0" fontId="9" fillId="0" borderId="11" xfId="0" applyFont="1" applyBorder="1"/>
    <xf numFmtId="0" fontId="9" fillId="0" borderId="0" xfId="0" applyFont="1"/>
    <xf numFmtId="0" fontId="10" fillId="0" borderId="0" xfId="0" applyFont="1" applyAlignment="1">
      <alignment horizontal="left"/>
    </xf>
    <xf numFmtId="0" fontId="9" fillId="0" borderId="1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12" xfId="0" applyFont="1" applyBorder="1"/>
    <xf numFmtId="4" fontId="9" fillId="0" borderId="3" xfId="0" applyNumberFormat="1" applyFont="1" applyBorder="1"/>
    <xf numFmtId="0" fontId="9" fillId="0" borderId="5" xfId="0" applyFont="1" applyBorder="1"/>
    <xf numFmtId="0" fontId="9" fillId="4" borderId="15" xfId="0" applyFont="1" applyFill="1" applyBorder="1"/>
    <xf numFmtId="1" fontId="9" fillId="4" borderId="3" xfId="0" applyNumberFormat="1" applyFont="1" applyFill="1" applyBorder="1"/>
    <xf numFmtId="0" fontId="9" fillId="4" borderId="12" xfId="0" applyFont="1" applyFill="1" applyBorder="1"/>
    <xf numFmtId="0" fontId="9" fillId="4" borderId="3" xfId="0" applyFont="1" applyFill="1" applyBorder="1"/>
    <xf numFmtId="0" fontId="9" fillId="4" borderId="11" xfId="0" applyFont="1" applyFill="1" applyBorder="1"/>
    <xf numFmtId="0" fontId="9" fillId="4" borderId="5" xfId="0" applyFont="1" applyFill="1" applyBorder="1"/>
    <xf numFmtId="0" fontId="9" fillId="0" borderId="7" xfId="0" applyFont="1" applyBorder="1" applyAlignment="1">
      <alignment horizontal="center"/>
    </xf>
    <xf numFmtId="0" fontId="11" fillId="0" borderId="0" xfId="1" applyFont="1"/>
    <xf numFmtId="0" fontId="9" fillId="0" borderId="0" xfId="0" applyFont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4" xfId="0" applyFont="1" applyBorder="1" applyAlignment="1">
      <alignment horizontal="left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12" fillId="2" borderId="3" xfId="0" applyFont="1" applyFill="1" applyBorder="1"/>
    <xf numFmtId="0" fontId="9" fillId="2" borderId="2" xfId="0" applyFont="1" applyFill="1" applyBorder="1" applyAlignment="1">
      <alignment horizontal="left"/>
    </xf>
    <xf numFmtId="0" fontId="9" fillId="2" borderId="0" xfId="0" applyFont="1" applyFill="1" applyAlignment="1">
      <alignment horizontal="left"/>
    </xf>
    <xf numFmtId="0" fontId="9" fillId="2" borderId="3" xfId="0" applyFont="1" applyFill="1" applyBorder="1" applyAlignment="1">
      <alignment horizontal="left"/>
    </xf>
    <xf numFmtId="0" fontId="13" fillId="0" borderId="13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4" fillId="0" borderId="0" xfId="0" applyFont="1"/>
    <xf numFmtId="0" fontId="9" fillId="0" borderId="5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6" fillId="2" borderId="16" xfId="0" applyFont="1" applyFill="1" applyBorder="1"/>
    <xf numFmtId="0" fontId="16" fillId="3" borderId="17" xfId="0" applyFont="1" applyFill="1" applyBorder="1"/>
    <xf numFmtId="0" fontId="16" fillId="4" borderId="18" xfId="0" applyFont="1" applyFill="1" applyBorder="1"/>
    <xf numFmtId="0" fontId="12" fillId="0" borderId="0" xfId="0" applyFont="1"/>
    <xf numFmtId="0" fontId="2" fillId="0" borderId="0" xfId="0" applyFont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17" fillId="0" borderId="0" xfId="0" applyFont="1"/>
    <xf numFmtId="0" fontId="5" fillId="0" borderId="0" xfId="1"/>
    <xf numFmtId="0" fontId="9" fillId="0" borderId="6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2" xfId="0" applyFont="1" applyBorder="1"/>
    <xf numFmtId="3" fontId="9" fillId="0" borderId="3" xfId="0" applyNumberFormat="1" applyFont="1" applyBorder="1" applyAlignment="1">
      <alignment horizontal="right"/>
    </xf>
    <xf numFmtId="0" fontId="9" fillId="0" borderId="4" xfId="0" applyFont="1" applyBorder="1"/>
    <xf numFmtId="0" fontId="9" fillId="0" borderId="5" xfId="0" applyFont="1" applyBorder="1" applyAlignment="1">
      <alignment horizontal="right"/>
    </xf>
    <xf numFmtId="0" fontId="5" fillId="0" borderId="0" xfId="1" applyAlignment="1" applyProtection="1"/>
    <xf numFmtId="0" fontId="11" fillId="0" borderId="0" xfId="1" applyFont="1" applyAlignment="1" applyProtection="1"/>
    <xf numFmtId="165" fontId="14" fillId="3" borderId="3" xfId="0" applyNumberFormat="1" applyFont="1" applyFill="1" applyBorder="1" applyAlignment="1">
      <alignment horizontal="right"/>
    </xf>
    <xf numFmtId="165" fontId="14" fillId="3" borderId="5" xfId="0" applyNumberFormat="1" applyFont="1" applyFill="1" applyBorder="1"/>
    <xf numFmtId="166" fontId="14" fillId="3" borderId="3" xfId="0" applyNumberFormat="1" applyFont="1" applyFill="1" applyBorder="1"/>
    <xf numFmtId="0" fontId="22" fillId="0" borderId="0" xfId="0" applyFont="1" applyAlignment="1">
      <alignment horizontal="left"/>
    </xf>
    <xf numFmtId="0" fontId="21" fillId="0" borderId="0" xfId="0" applyFont="1" applyAlignment="1">
      <alignment horizontal="left"/>
    </xf>
    <xf numFmtId="165" fontId="14" fillId="0" borderId="0" xfId="0" applyNumberFormat="1" applyFont="1" applyAlignment="1">
      <alignment horizontal="right"/>
    </xf>
    <xf numFmtId="165" fontId="14" fillId="0" borderId="0" xfId="0" applyNumberFormat="1" applyFont="1"/>
    <xf numFmtId="0" fontId="8" fillId="0" borderId="8" xfId="0" applyFont="1" applyBorder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9" fillId="0" borderId="6" xfId="0" applyFont="1" applyBorder="1"/>
    <xf numFmtId="0" fontId="9" fillId="0" borderId="7" xfId="0" applyFont="1" applyBorder="1"/>
    <xf numFmtId="0" fontId="21" fillId="0" borderId="6" xfId="0" applyFont="1" applyBorder="1" applyAlignment="1">
      <alignment horizontal="center"/>
    </xf>
    <xf numFmtId="0" fontId="21" fillId="0" borderId="1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8" fillId="0" borderId="0" xfId="0" applyFont="1" applyAlignment="1">
      <alignment horizontal="center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</xdr:row>
      <xdr:rowOff>101601</xdr:rowOff>
    </xdr:from>
    <xdr:to>
      <xdr:col>1</xdr:col>
      <xdr:colOff>93211</xdr:colOff>
      <xdr:row>51</xdr:row>
      <xdr:rowOff>4981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1EFD9C2-9B6B-C341-967D-30D878139084}"/>
            </a:ext>
          </a:extLst>
        </xdr:cNvPr>
        <xdr:cNvSpPr txBox="1"/>
      </xdr:nvSpPr>
      <xdr:spPr>
        <a:xfrm>
          <a:off x="0" y="7975601"/>
          <a:ext cx="4495878" cy="15797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USER</a:t>
          </a:r>
          <a:r>
            <a:rPr lang="en-GB" sz="1100" b="1" baseline="0"/>
            <a:t> INSTRUCTIONS:</a:t>
          </a:r>
        </a:p>
        <a:p>
          <a:endParaRPr lang="en-GB" sz="1100" b="1" baseline="0"/>
        </a:p>
        <a:p>
          <a:r>
            <a:rPr lang="en-GB" sz="1100" b="0" baseline="0"/>
            <a:t>1. Input seabed depth, temperature and assumed wellbore temp.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/>
            <a:t>2. Input cavern geomechanical data; cavern height:diameter, depth.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/>
            <a:t>3. Copy and paste values into cells B25 &amp; B26 under 'Hydrogen Gas Properties table' ["Right click on cell", "paste special", "values"].</a:t>
          </a:r>
        </a:p>
        <a:p>
          <a:r>
            <a:rPr lang="en-GB" sz="1100" b="0" baseline="0"/>
            <a:t>4. Input the horizontal distance of the target salt area.</a:t>
          </a:r>
        </a:p>
      </xdr:txBody>
    </xdr:sp>
    <xdr:clientData/>
  </xdr:twoCellAnchor>
  <xdr:twoCellAnchor>
    <xdr:from>
      <xdr:col>3</xdr:col>
      <xdr:colOff>41720</xdr:colOff>
      <xdr:row>36</xdr:row>
      <xdr:rowOff>44959</xdr:rowOff>
    </xdr:from>
    <xdr:to>
      <xdr:col>5</xdr:col>
      <xdr:colOff>15240</xdr:colOff>
      <xdr:row>38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20B7E44-F187-664E-8A2E-CC79787153B5}"/>
            </a:ext>
          </a:extLst>
        </xdr:cNvPr>
        <xdr:cNvSpPr txBox="1"/>
      </xdr:nvSpPr>
      <xdr:spPr>
        <a:xfrm>
          <a:off x="6107240" y="6699759"/>
          <a:ext cx="4576000" cy="4706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solidFill>
                <a:srgbClr val="FF0000"/>
              </a:solidFill>
            </a:rPr>
            <a:t>*</a:t>
          </a:r>
          <a:r>
            <a:rPr lang="en-GB" sz="900"/>
            <a:t>Copy and paste 'values' from above highlighted</a:t>
          </a:r>
          <a:r>
            <a:rPr lang="en-GB" sz="900" baseline="0"/>
            <a:t> cells</a:t>
          </a:r>
          <a:r>
            <a:rPr lang="en-GB" sz="900"/>
            <a:t> into "H2 Gas Properties table"</a:t>
          </a:r>
        </a:p>
        <a:p>
          <a:r>
            <a:rPr lang="en-GB" sz="900"/>
            <a:t> &gt;&gt; [cells B25 &amp; B26].</a:t>
          </a:r>
        </a:p>
      </xdr:txBody>
    </xdr:sp>
    <xdr:clientData/>
  </xdr:twoCellAnchor>
  <xdr:twoCellAnchor>
    <xdr:from>
      <xdr:col>3</xdr:col>
      <xdr:colOff>20320</xdr:colOff>
      <xdr:row>24</xdr:row>
      <xdr:rowOff>71120</xdr:rowOff>
    </xdr:from>
    <xdr:to>
      <xdr:col>4</xdr:col>
      <xdr:colOff>1253680</xdr:colOff>
      <xdr:row>26</xdr:row>
      <xdr:rowOff>176021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B887734-1EF7-FE49-9CFA-5446AA35E36C}"/>
            </a:ext>
          </a:extLst>
        </xdr:cNvPr>
        <xdr:cNvSpPr txBox="1"/>
      </xdr:nvSpPr>
      <xdr:spPr>
        <a:xfrm>
          <a:off x="6085840" y="4521200"/>
          <a:ext cx="4576000" cy="4706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solidFill>
                <a:schemeClr val="tx1"/>
              </a:solidFill>
            </a:rPr>
            <a:t>*The shape correction</a:t>
          </a:r>
          <a:r>
            <a:rPr lang="en-GB" sz="900" baseline="0">
              <a:solidFill>
                <a:schemeClr val="tx1"/>
              </a:solidFill>
            </a:rPr>
            <a:t> factor considers the: insoluble fraction, insoluble material after mechanical sweeping; bulking factor and the volume losses related to creep. </a:t>
          </a:r>
          <a:endParaRPr lang="en-GB" sz="9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38</xdr:row>
      <xdr:rowOff>152400</xdr:rowOff>
    </xdr:from>
    <xdr:to>
      <xdr:col>1</xdr:col>
      <xdr:colOff>11869</xdr:colOff>
      <xdr:row>48</xdr:row>
      <xdr:rowOff>67733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01AC457-9B88-7E4A-8C9D-F7E9B188A6E3}"/>
            </a:ext>
          </a:extLst>
        </xdr:cNvPr>
        <xdr:cNvSpPr txBox="1"/>
      </xdr:nvSpPr>
      <xdr:spPr>
        <a:xfrm>
          <a:off x="0" y="7281333"/>
          <a:ext cx="4566936" cy="1778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USER</a:t>
          </a:r>
          <a:r>
            <a:rPr lang="en-GB" sz="1100" b="1" baseline="0"/>
            <a:t> INSTRUCTIONS:</a:t>
          </a:r>
        </a:p>
        <a:p>
          <a:endParaRPr lang="en-GB" sz="1100" b="1" baseline="0"/>
        </a:p>
        <a:p>
          <a:r>
            <a:rPr lang="en-GB" sz="1100" b="0" baseline="0"/>
            <a:t>1. Input assumed average wellbore temp. per annum.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/>
            <a:t>2. Input cavern geomechanical data; cavern height:diameter, depth.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/>
            <a:t>3. Copy and paste values into cells B21 &amp; B22 under 'Hydrogen Gas Properties table' ["Right click on cell", "paste special", "values"].</a:t>
          </a:r>
        </a:p>
        <a:p>
          <a:r>
            <a:rPr lang="en-GB" sz="1100" b="0" baseline="0"/>
            <a:t>4. Input the horizontal distance of the target salt area.</a:t>
          </a:r>
        </a:p>
      </xdr:txBody>
    </xdr:sp>
    <xdr:clientData/>
  </xdr:twoCellAnchor>
  <xdr:twoCellAnchor>
    <xdr:from>
      <xdr:col>3</xdr:col>
      <xdr:colOff>50800</xdr:colOff>
      <xdr:row>36</xdr:row>
      <xdr:rowOff>49048</xdr:rowOff>
    </xdr:from>
    <xdr:to>
      <xdr:col>4</xdr:col>
      <xdr:colOff>1255523</xdr:colOff>
      <xdr:row>38</xdr:row>
      <xdr:rowOff>150648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201BA66-50F3-DD42-AE7C-C3EF3ED91064}"/>
            </a:ext>
          </a:extLst>
        </xdr:cNvPr>
        <xdr:cNvSpPr txBox="1"/>
      </xdr:nvSpPr>
      <xdr:spPr>
        <a:xfrm>
          <a:off x="6346059" y="6442841"/>
          <a:ext cx="4565843" cy="4519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solidFill>
                <a:srgbClr val="FF0000"/>
              </a:solidFill>
            </a:rPr>
            <a:t>*</a:t>
          </a:r>
          <a:r>
            <a:rPr lang="en-GB" sz="900"/>
            <a:t>Copy and paste 'values' from above highlighted</a:t>
          </a:r>
          <a:r>
            <a:rPr lang="en-GB" sz="900" baseline="0"/>
            <a:t> cells</a:t>
          </a:r>
          <a:r>
            <a:rPr lang="en-GB" sz="900"/>
            <a:t> into "H2 Gas Properties table"</a:t>
          </a:r>
        </a:p>
        <a:p>
          <a:r>
            <a:rPr lang="en-GB" sz="900"/>
            <a:t> &gt;&gt; [cells B21 &amp; B262].</a:t>
          </a:r>
        </a:p>
      </xdr:txBody>
    </xdr:sp>
    <xdr:clientData/>
  </xdr:twoCellAnchor>
  <xdr:twoCellAnchor>
    <xdr:from>
      <xdr:col>3</xdr:col>
      <xdr:colOff>32845</xdr:colOff>
      <xdr:row>24</xdr:row>
      <xdr:rowOff>43793</xdr:rowOff>
    </xdr:from>
    <xdr:to>
      <xdr:col>4</xdr:col>
      <xdr:colOff>1247725</xdr:colOff>
      <xdr:row>26</xdr:row>
      <xdr:rowOff>164110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9CE583-D830-B24F-BD89-FA4B040DD213}"/>
            </a:ext>
          </a:extLst>
        </xdr:cNvPr>
        <xdr:cNvSpPr txBox="1"/>
      </xdr:nvSpPr>
      <xdr:spPr>
        <a:xfrm>
          <a:off x="6328104" y="4313621"/>
          <a:ext cx="4576000" cy="4706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solidFill>
                <a:schemeClr val="tx1"/>
              </a:solidFill>
            </a:rPr>
            <a:t>*The shape correction</a:t>
          </a:r>
          <a:r>
            <a:rPr lang="en-GB" sz="900" baseline="0">
              <a:solidFill>
                <a:schemeClr val="tx1"/>
              </a:solidFill>
            </a:rPr>
            <a:t> factor considers the: insoluble fraction, insoluble material after mechanical sweeping; bulking factor and the volume losses related to creep. </a:t>
          </a:r>
          <a:endParaRPr lang="en-GB" sz="9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14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2BD2397-5E80-3C49-B92D-F9CFAB339762}"/>
            </a:ext>
          </a:extLst>
        </xdr:cNvPr>
        <xdr:cNvSpPr txBox="1"/>
      </xdr:nvSpPr>
      <xdr:spPr>
        <a:xfrm>
          <a:off x="0" y="0"/>
          <a:ext cx="5778500" cy="2374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b="1"/>
            <a:t>USER</a:t>
          </a:r>
          <a:r>
            <a:rPr lang="en-GB" sz="1400" b="1" baseline="0"/>
            <a:t> INSTRUCTIONS:</a:t>
          </a:r>
        </a:p>
        <a:p>
          <a:endParaRPr lang="en-GB" sz="1100" b="1" baseline="0"/>
        </a:p>
        <a:p>
          <a:r>
            <a:rPr lang="en-GB" sz="1200" b="0" baseline="0"/>
            <a:t>1. Input seabed depth, temperature and assumed average wellbore temperature per annum. </a:t>
          </a:r>
        </a:p>
        <a:p>
          <a:endParaRPr lang="en-GB" sz="12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/>
            <a:t>2. Input cavern geomechanical data; cavern height:diameter, depth.</a:t>
          </a:r>
        </a:p>
        <a:p>
          <a:endParaRPr lang="en-GB" sz="12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/>
            <a:t>3. Copy and paste highlighted values from 'H2 Compressibility table' into 'Hydrogen Gas Properties table' ["Right click on cell", "paste special", "values"].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200" b="0" baseline="0"/>
        </a:p>
        <a:p>
          <a:r>
            <a:rPr lang="en-GB" sz="1200" b="0" baseline="0"/>
            <a:t>4. Input the horizontal distance of the target salt area.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craig1allsop/H2_Salt_Cavern_Storage.git" TargetMode="External"/><Relationship Id="rId2" Type="http://schemas.openxmlformats.org/officeDocument/2006/relationships/hyperlink" Target="https://doi.org/10.18434/T4/1502528" TargetMode="External"/><Relationship Id="rId1" Type="http://schemas.openxmlformats.org/officeDocument/2006/relationships/hyperlink" Target="https://doi.org/10.1144/SP528-2022-82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craig1allsop/H2_Salt_Cavern_Storage.git" TargetMode="External"/><Relationship Id="rId2" Type="http://schemas.openxmlformats.org/officeDocument/2006/relationships/hyperlink" Target="https://doi.org/10.18434/T4/1502528" TargetMode="External"/><Relationship Id="rId1" Type="http://schemas.openxmlformats.org/officeDocument/2006/relationships/hyperlink" Target="https://doi.org/10.1144/SP528-2022-82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oi.org/10.1144/SP528-2022-8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25"/>
  <sheetViews>
    <sheetView tabSelected="1" zoomScale="75" zoomScaleNormal="75" workbookViewId="0">
      <selection activeCell="B1" sqref="B1"/>
    </sheetView>
  </sheetViews>
  <sheetFormatPr baseColWidth="10" defaultColWidth="9.1640625" defaultRowHeight="12" x14ac:dyDescent="0.15"/>
  <cols>
    <col min="1" max="1" width="57.6640625" style="1" bestFit="1" customWidth="1"/>
    <col min="2" max="2" width="12.1640625" style="1" bestFit="1" customWidth="1"/>
    <col min="3" max="3" width="9.6640625" style="1" customWidth="1"/>
    <col min="4" max="4" width="43.83203125" style="1" customWidth="1"/>
    <col min="5" max="5" width="16.5" style="1" customWidth="1"/>
    <col min="6" max="6" width="9.83203125" style="1" customWidth="1"/>
    <col min="7" max="7" width="39.5" style="1" bestFit="1" customWidth="1"/>
    <col min="8" max="8" width="12.1640625" style="1" bestFit="1" customWidth="1"/>
    <col min="9" max="9" width="13.5" style="1" customWidth="1"/>
    <col min="10" max="10" width="15.1640625" style="1" bestFit="1" customWidth="1"/>
    <col min="11" max="11" width="8" style="1" customWidth="1"/>
    <col min="12" max="13" width="10.6640625" style="1" bestFit="1" customWidth="1"/>
    <col min="14" max="14" width="14.1640625" style="1" bestFit="1" customWidth="1"/>
    <col min="15" max="15" width="15.83203125" style="1" customWidth="1"/>
    <col min="16" max="16" width="16.1640625" style="1" bestFit="1" customWidth="1"/>
    <col min="17" max="18" width="13.1640625" style="1" bestFit="1" customWidth="1"/>
    <col min="19" max="19" width="14.1640625" style="1" bestFit="1" customWidth="1"/>
    <col min="20" max="16384" width="9.1640625" style="1"/>
  </cols>
  <sheetData>
    <row r="1" spans="1:17" ht="19" x14ac:dyDescent="0.25">
      <c r="A1" s="9" t="s">
        <v>33</v>
      </c>
      <c r="B1" s="14"/>
      <c r="C1" s="14"/>
      <c r="D1" s="14"/>
      <c r="E1" s="14"/>
      <c r="F1" s="14"/>
      <c r="G1" s="14"/>
      <c r="H1" s="14"/>
      <c r="I1" s="14"/>
      <c r="J1" s="15"/>
      <c r="K1" s="15"/>
      <c r="L1" s="15"/>
      <c r="M1" s="15"/>
      <c r="N1" s="15"/>
      <c r="O1" s="15"/>
      <c r="P1" s="15"/>
      <c r="Q1" s="15"/>
    </row>
    <row r="2" spans="1:17" ht="14" x14ac:dyDescent="0.2">
      <c r="A2" s="14"/>
      <c r="B2" s="14"/>
      <c r="C2" s="14"/>
      <c r="D2" s="14"/>
      <c r="E2" s="14"/>
      <c r="F2" s="14"/>
      <c r="G2" s="14"/>
      <c r="H2" s="14"/>
      <c r="I2" s="14"/>
      <c r="K2" s="30"/>
      <c r="L2" s="30"/>
      <c r="M2" s="30"/>
      <c r="N2" s="30"/>
    </row>
    <row r="3" spans="1:17" ht="14" x14ac:dyDescent="0.2">
      <c r="A3" s="77" t="s">
        <v>34</v>
      </c>
      <c r="B3" s="78"/>
      <c r="C3" s="14"/>
      <c r="D3" s="77" t="s">
        <v>35</v>
      </c>
      <c r="E3" s="78"/>
      <c r="F3" s="14"/>
      <c r="G3" s="77" t="s">
        <v>36</v>
      </c>
      <c r="H3" s="78"/>
      <c r="I3" s="14"/>
      <c r="J3" s="74" t="s">
        <v>129</v>
      </c>
      <c r="K3" s="75"/>
      <c r="L3" s="76"/>
    </row>
    <row r="4" spans="1:17" ht="14" x14ac:dyDescent="0.2">
      <c r="A4" s="16" t="s">
        <v>29</v>
      </c>
      <c r="B4" s="16" t="s">
        <v>30</v>
      </c>
      <c r="C4" s="14"/>
      <c r="D4" s="17" t="s">
        <v>29</v>
      </c>
      <c r="E4" s="18" t="s">
        <v>30</v>
      </c>
      <c r="F4" s="14"/>
      <c r="G4" s="17" t="s">
        <v>29</v>
      </c>
      <c r="H4" s="18" t="s">
        <v>30</v>
      </c>
      <c r="I4" s="14"/>
      <c r="J4" s="54" t="s">
        <v>14</v>
      </c>
      <c r="K4" s="55" t="s">
        <v>31</v>
      </c>
      <c r="L4" s="28" t="s">
        <v>32</v>
      </c>
      <c r="M4" s="30"/>
      <c r="N4" s="30"/>
    </row>
    <row r="5" spans="1:17" ht="14" x14ac:dyDescent="0.2">
      <c r="A5" s="19" t="s">
        <v>37</v>
      </c>
      <c r="B5" s="35">
        <v>50</v>
      </c>
      <c r="C5" s="14"/>
      <c r="D5" s="19" t="s">
        <v>38</v>
      </c>
      <c r="E5" s="20">
        <f>E23</f>
        <v>741543.62434843718</v>
      </c>
      <c r="F5" s="14"/>
      <c r="G5" s="19" t="s">
        <v>136</v>
      </c>
      <c r="H5" s="12">
        <f>H6-273.15</f>
        <v>57.980000000000018</v>
      </c>
      <c r="I5" s="14"/>
      <c r="J5" s="33" t="s">
        <v>0</v>
      </c>
      <c r="K5" s="30">
        <v>0</v>
      </c>
      <c r="L5" s="34">
        <f t="shared" ref="L5:L25" si="0">Comp($J$33,$J5)</f>
        <v>0</v>
      </c>
      <c r="M5" s="30"/>
      <c r="N5" s="30"/>
    </row>
    <row r="6" spans="1:17" ht="14" x14ac:dyDescent="0.2">
      <c r="A6" s="19" t="s">
        <v>39</v>
      </c>
      <c r="B6" s="12">
        <f>B5/10</f>
        <v>5</v>
      </c>
      <c r="C6" s="14"/>
      <c r="D6" s="19" t="s">
        <v>40</v>
      </c>
      <c r="E6" s="12">
        <f>E24*E5</f>
        <v>519080.53704390599</v>
      </c>
      <c r="F6" s="14"/>
      <c r="G6" s="19" t="s">
        <v>41</v>
      </c>
      <c r="H6" s="12">
        <f>B8+B14*E8</f>
        <v>331.13</v>
      </c>
      <c r="I6" s="14"/>
      <c r="J6" s="33" t="s">
        <v>1</v>
      </c>
      <c r="K6" s="30">
        <v>0</v>
      </c>
      <c r="L6" s="34">
        <f t="shared" si="0"/>
        <v>0</v>
      </c>
      <c r="M6" s="30"/>
      <c r="N6" s="30"/>
    </row>
    <row r="7" spans="1:17" ht="14" x14ac:dyDescent="0.2">
      <c r="A7" s="19" t="s">
        <v>42</v>
      </c>
      <c r="B7" s="35">
        <v>9</v>
      </c>
      <c r="C7" s="14"/>
      <c r="D7" s="19" t="s">
        <v>43</v>
      </c>
      <c r="E7" s="35">
        <v>1620</v>
      </c>
      <c r="F7" s="14"/>
      <c r="G7" s="19" t="s">
        <v>44</v>
      </c>
      <c r="H7" s="12">
        <f>H8-273.15</f>
        <v>63.870000000000005</v>
      </c>
      <c r="I7" s="14"/>
      <c r="J7" s="33" t="s">
        <v>3</v>
      </c>
      <c r="K7" s="30">
        <v>0</v>
      </c>
      <c r="L7" s="34">
        <f t="shared" si="0"/>
        <v>0</v>
      </c>
      <c r="M7" s="30"/>
      <c r="N7" s="30"/>
    </row>
    <row r="8" spans="1:17" ht="14" x14ac:dyDescent="0.2">
      <c r="A8" s="19" t="s">
        <v>45</v>
      </c>
      <c r="B8" s="12">
        <f>273.15+B7</f>
        <v>282.14999999999998</v>
      </c>
      <c r="C8" s="14"/>
      <c r="D8" s="19" t="s">
        <v>46</v>
      </c>
      <c r="E8" s="12">
        <f>E7-E11</f>
        <v>1580</v>
      </c>
      <c r="F8" s="14"/>
      <c r="G8" s="19" t="s">
        <v>47</v>
      </c>
      <c r="H8" s="12">
        <f>B8+B14*(E7+E10/2)</f>
        <v>337.02</v>
      </c>
      <c r="I8" s="14"/>
      <c r="J8" s="33" t="s">
        <v>23</v>
      </c>
      <c r="K8" s="30">
        <v>0</v>
      </c>
      <c r="L8" s="34">
        <f t="shared" si="0"/>
        <v>0</v>
      </c>
      <c r="M8" s="30"/>
      <c r="N8" s="30"/>
    </row>
    <row r="9" spans="1:17" ht="14" x14ac:dyDescent="0.2">
      <c r="A9" s="19" t="s">
        <v>118</v>
      </c>
      <c r="B9" s="35">
        <v>6</v>
      </c>
      <c r="C9" s="14"/>
      <c r="D9" s="19" t="s">
        <v>48</v>
      </c>
      <c r="E9" s="35">
        <v>58</v>
      </c>
      <c r="F9" s="14"/>
      <c r="G9" s="19" t="s">
        <v>49</v>
      </c>
      <c r="H9" s="12">
        <f>B6+B15*E8</f>
        <v>360.5</v>
      </c>
      <c r="I9" s="14"/>
      <c r="J9" s="33" t="s">
        <v>24</v>
      </c>
      <c r="K9" s="30">
        <v>0</v>
      </c>
      <c r="L9" s="34">
        <f t="shared" si="0"/>
        <v>0</v>
      </c>
      <c r="M9" s="30"/>
      <c r="N9" s="30"/>
    </row>
    <row r="10" spans="1:17" ht="14" x14ac:dyDescent="0.2">
      <c r="A10" s="19" t="s">
        <v>50</v>
      </c>
      <c r="B10" s="12">
        <f>273.15+B9</f>
        <v>279.14999999999998</v>
      </c>
      <c r="C10" s="14"/>
      <c r="D10" s="19" t="s">
        <v>51</v>
      </c>
      <c r="E10" s="35">
        <v>300</v>
      </c>
      <c r="F10" s="14"/>
      <c r="G10" s="19" t="s">
        <v>52</v>
      </c>
      <c r="H10" s="12">
        <f>H9*B16</f>
        <v>288.40000000000003</v>
      </c>
      <c r="I10" s="14"/>
      <c r="J10" s="33" t="s">
        <v>25</v>
      </c>
      <c r="K10" s="30">
        <v>0</v>
      </c>
      <c r="L10" s="34">
        <f t="shared" si="0"/>
        <v>0</v>
      </c>
      <c r="M10" s="30"/>
      <c r="N10" s="30"/>
    </row>
    <row r="11" spans="1:17" ht="14" x14ac:dyDescent="0.2">
      <c r="A11" s="19" t="s">
        <v>53</v>
      </c>
      <c r="B11" s="12">
        <f>B12-273.15</f>
        <v>31.990000000000009</v>
      </c>
      <c r="C11" s="14"/>
      <c r="D11" s="19" t="s">
        <v>54</v>
      </c>
      <c r="E11" s="12">
        <v>40</v>
      </c>
      <c r="F11" s="14"/>
      <c r="G11" s="19" t="s">
        <v>55</v>
      </c>
      <c r="H11" s="12">
        <f>H9*B17</f>
        <v>86.52</v>
      </c>
      <c r="I11" s="14"/>
      <c r="J11" s="33" t="s">
        <v>26</v>
      </c>
      <c r="K11" s="30">
        <v>0</v>
      </c>
      <c r="L11" s="34">
        <f t="shared" si="0"/>
        <v>0</v>
      </c>
      <c r="M11" s="30"/>
      <c r="N11" s="30"/>
    </row>
    <row r="12" spans="1:17" ht="14" x14ac:dyDescent="0.2">
      <c r="A12" s="19" t="s">
        <v>56</v>
      </c>
      <c r="B12" s="12">
        <f>(H6+B10)/2</f>
        <v>305.14</v>
      </c>
      <c r="C12" s="14"/>
      <c r="D12" s="19" t="s">
        <v>57</v>
      </c>
      <c r="E12" s="12">
        <f>4*E9</f>
        <v>232</v>
      </c>
      <c r="F12" s="14"/>
      <c r="G12" s="19" t="s">
        <v>58</v>
      </c>
      <c r="H12" s="12">
        <f>H10/EXP((B21*B22*B23*(E7+B5))/(B24*B12*((B25+B30)/2)))</f>
        <v>284.97330766114169</v>
      </c>
      <c r="I12" s="14"/>
      <c r="J12" s="33" t="s">
        <v>27</v>
      </c>
      <c r="K12" s="30">
        <v>0</v>
      </c>
      <c r="L12" s="34">
        <f t="shared" si="0"/>
        <v>0</v>
      </c>
      <c r="M12" s="30"/>
      <c r="N12" s="30"/>
    </row>
    <row r="13" spans="1:17" ht="14" x14ac:dyDescent="0.2">
      <c r="A13" s="19" t="s">
        <v>59</v>
      </c>
      <c r="B13" s="12">
        <f>(H14+H13)/2</f>
        <v>288.32922474531347</v>
      </c>
      <c r="C13" s="14"/>
      <c r="D13" s="19" t="s">
        <v>60</v>
      </c>
      <c r="E13" s="12">
        <f>0.75*E9</f>
        <v>43.5</v>
      </c>
      <c r="F13" s="14"/>
      <c r="G13" s="19" t="s">
        <v>61</v>
      </c>
      <c r="H13" s="12">
        <f>H12*(H6/B10)^((B21*B22*B23)/(B24*B25*B14))</f>
        <v>288.1629931932714</v>
      </c>
      <c r="I13" s="14"/>
      <c r="J13" s="33" t="s">
        <v>28</v>
      </c>
      <c r="K13" s="30">
        <v>0</v>
      </c>
      <c r="L13" s="34">
        <f t="shared" si="0"/>
        <v>0</v>
      </c>
      <c r="M13" s="30"/>
      <c r="N13" s="30"/>
    </row>
    <row r="14" spans="1:17" ht="14" x14ac:dyDescent="0.2">
      <c r="A14" s="19" t="s">
        <v>62</v>
      </c>
      <c r="B14" s="12">
        <v>3.1E-2</v>
      </c>
      <c r="C14" s="14"/>
      <c r="D14" s="19" t="s">
        <v>63</v>
      </c>
      <c r="E14" s="12">
        <f>0.25*E9</f>
        <v>14.5</v>
      </c>
      <c r="F14" s="14"/>
      <c r="G14" s="13" t="s">
        <v>64</v>
      </c>
      <c r="H14" s="21">
        <f>H13*EXP((B21*B22*B23*((E10/2)+E11))/(B24*H8*B26))</f>
        <v>288.49545629735559</v>
      </c>
      <c r="I14" s="14"/>
      <c r="J14" s="33" t="s">
        <v>15</v>
      </c>
      <c r="K14" s="30">
        <v>0</v>
      </c>
      <c r="L14" s="34">
        <f t="shared" si="0"/>
        <v>0</v>
      </c>
      <c r="M14" s="30"/>
      <c r="N14" s="30"/>
    </row>
    <row r="15" spans="1:17" ht="14" x14ac:dyDescent="0.2">
      <c r="A15" s="19" t="s">
        <v>65</v>
      </c>
      <c r="B15" s="12">
        <v>0.22500000000000001</v>
      </c>
      <c r="C15" s="14"/>
      <c r="D15" s="19" t="s">
        <v>66</v>
      </c>
      <c r="E15" s="12">
        <f>E10+E13+E14</f>
        <v>358</v>
      </c>
      <c r="F15" s="14"/>
      <c r="G15" s="14"/>
      <c r="H15" s="14"/>
      <c r="I15" s="14"/>
      <c r="J15" s="33" t="s">
        <v>16</v>
      </c>
      <c r="K15" s="30">
        <v>0</v>
      </c>
      <c r="L15" s="34">
        <f t="shared" si="0"/>
        <v>0</v>
      </c>
      <c r="M15" s="30"/>
      <c r="N15" s="30"/>
    </row>
    <row r="16" spans="1:17" ht="14" x14ac:dyDescent="0.2">
      <c r="A16" s="19" t="s">
        <v>67</v>
      </c>
      <c r="B16" s="12">
        <v>0.8</v>
      </c>
      <c r="C16" s="14"/>
      <c r="D16" s="19" t="s">
        <v>68</v>
      </c>
      <c r="E16" s="12">
        <f>E10/E9</f>
        <v>5.1724137931034484</v>
      </c>
      <c r="F16" s="14"/>
      <c r="G16" s="77" t="s">
        <v>69</v>
      </c>
      <c r="H16" s="78"/>
      <c r="I16" s="14"/>
      <c r="J16" s="33" t="s">
        <v>17</v>
      </c>
      <c r="K16" s="30">
        <v>0</v>
      </c>
      <c r="L16" s="34">
        <f t="shared" si="0"/>
        <v>0</v>
      </c>
      <c r="M16" s="30"/>
      <c r="N16" s="30"/>
    </row>
    <row r="17" spans="1:17" ht="14" x14ac:dyDescent="0.2">
      <c r="A17" s="13" t="s">
        <v>70</v>
      </c>
      <c r="B17" s="21">
        <v>0.24</v>
      </c>
      <c r="C17" s="14"/>
      <c r="D17" s="13" t="s">
        <v>71</v>
      </c>
      <c r="E17" s="21">
        <f>2*E9</f>
        <v>116</v>
      </c>
      <c r="F17" s="14"/>
      <c r="G17" s="17" t="s">
        <v>29</v>
      </c>
      <c r="H17" s="18" t="s">
        <v>30</v>
      </c>
      <c r="I17" s="14"/>
      <c r="J17" s="33" t="s">
        <v>18</v>
      </c>
      <c r="K17" s="30">
        <v>0</v>
      </c>
      <c r="L17" s="34">
        <f t="shared" si="0"/>
        <v>0</v>
      </c>
      <c r="M17" s="30"/>
      <c r="N17" s="30"/>
    </row>
    <row r="18" spans="1:17" ht="14" x14ac:dyDescent="0.2">
      <c r="A18" s="14"/>
      <c r="B18" s="14"/>
      <c r="C18" s="14"/>
      <c r="D18" s="14"/>
      <c r="E18" s="14"/>
      <c r="F18" s="14"/>
      <c r="G18" s="19" t="s">
        <v>72</v>
      </c>
      <c r="H18" s="12">
        <f>(B32*B28*B30*B24)/B27</f>
        <v>108771281.99723658</v>
      </c>
      <c r="I18" s="14"/>
      <c r="J18" s="33" t="s">
        <v>19</v>
      </c>
      <c r="K18" s="30">
        <v>0</v>
      </c>
      <c r="L18" s="34">
        <f t="shared" si="0"/>
        <v>0</v>
      </c>
      <c r="M18" s="30"/>
      <c r="N18" s="30"/>
    </row>
    <row r="19" spans="1:17" ht="14" x14ac:dyDescent="0.2">
      <c r="A19" s="77" t="s">
        <v>73</v>
      </c>
      <c r="B19" s="78"/>
      <c r="C19" s="14"/>
      <c r="D19" s="77" t="s">
        <v>74</v>
      </c>
      <c r="E19" s="78"/>
      <c r="F19" s="14"/>
      <c r="G19" s="19" t="s">
        <v>75</v>
      </c>
      <c r="H19" s="12">
        <f>(H14/B27)*(B28/H8)*(B30/B26)*E6</f>
        <v>108771281.99723659</v>
      </c>
      <c r="I19" s="14"/>
      <c r="J19" s="36" t="s">
        <v>8</v>
      </c>
      <c r="K19" s="37">
        <v>100</v>
      </c>
      <c r="L19" s="38">
        <f t="shared" si="0"/>
        <v>100</v>
      </c>
      <c r="M19" s="30"/>
      <c r="N19" s="30"/>
    </row>
    <row r="20" spans="1:17" ht="14" x14ac:dyDescent="0.2">
      <c r="A20" s="17" t="s">
        <v>29</v>
      </c>
      <c r="B20" s="18" t="s">
        <v>30</v>
      </c>
      <c r="C20" s="14"/>
      <c r="D20" s="39" t="s">
        <v>29</v>
      </c>
      <c r="E20" s="40" t="s">
        <v>30</v>
      </c>
      <c r="F20" s="14"/>
      <c r="G20" s="13" t="s">
        <v>76</v>
      </c>
      <c r="H20" s="21">
        <f>H19*B31*10^-3</f>
        <v>333383.97932153015</v>
      </c>
      <c r="I20" s="14"/>
      <c r="J20" s="33" t="s">
        <v>5</v>
      </c>
      <c r="K20" s="30">
        <v>0</v>
      </c>
      <c r="L20" s="34">
        <f t="shared" si="0"/>
        <v>0</v>
      </c>
      <c r="M20" s="30"/>
      <c r="N20" s="30"/>
    </row>
    <row r="21" spans="1:17" ht="14" x14ac:dyDescent="0.2">
      <c r="A21" s="19" t="s">
        <v>77</v>
      </c>
      <c r="B21" s="12">
        <v>9.8066499999999994</v>
      </c>
      <c r="C21" s="14"/>
      <c r="D21" s="19" t="s">
        <v>78</v>
      </c>
      <c r="E21" s="12">
        <f>E9/2</f>
        <v>29</v>
      </c>
      <c r="F21" s="14"/>
      <c r="G21" s="22" t="s">
        <v>79</v>
      </c>
      <c r="H21" s="23">
        <f>H19*B17</f>
        <v>26105107.679336783</v>
      </c>
      <c r="I21" s="14"/>
      <c r="J21" s="33" t="s">
        <v>2</v>
      </c>
      <c r="K21" s="30">
        <v>0</v>
      </c>
      <c r="L21" s="34">
        <f t="shared" si="0"/>
        <v>0</v>
      </c>
      <c r="M21" s="30"/>
      <c r="N21" s="14"/>
    </row>
    <row r="22" spans="1:17" ht="14" x14ac:dyDescent="0.2">
      <c r="A22" s="19" t="s">
        <v>80</v>
      </c>
      <c r="B22" s="12">
        <v>2.89652E-2</v>
      </c>
      <c r="C22" s="14"/>
      <c r="D22" s="19" t="s">
        <v>81</v>
      </c>
      <c r="E22" s="12">
        <f>E10-(E21*2)</f>
        <v>242</v>
      </c>
      <c r="F22" s="14"/>
      <c r="G22" s="24" t="s">
        <v>82</v>
      </c>
      <c r="H22" s="25">
        <f>(H19-H21)</f>
        <v>82666174.317899808</v>
      </c>
      <c r="I22" s="14"/>
      <c r="J22" s="33" t="s">
        <v>6</v>
      </c>
      <c r="K22" s="30">
        <v>0</v>
      </c>
      <c r="L22" s="34">
        <f t="shared" si="0"/>
        <v>0</v>
      </c>
      <c r="M22" s="30"/>
      <c r="N22" s="14"/>
    </row>
    <row r="23" spans="1:17" ht="14" x14ac:dyDescent="0.2">
      <c r="A23" s="19" t="s">
        <v>83</v>
      </c>
      <c r="B23" s="12">
        <v>6.9599999999999995E-2</v>
      </c>
      <c r="C23" s="14"/>
      <c r="D23" s="19" t="s">
        <v>113</v>
      </c>
      <c r="E23" s="12">
        <f>PI()*E21^2*((4/3)*E21+E22)</f>
        <v>741543.62434843718</v>
      </c>
      <c r="F23" s="14"/>
      <c r="G23" s="24" t="s">
        <v>84</v>
      </c>
      <c r="H23" s="23">
        <f>H22*B31*10^-3</f>
        <v>253371.82428436293</v>
      </c>
      <c r="I23" s="14"/>
      <c r="J23" s="33" t="s">
        <v>4</v>
      </c>
      <c r="K23" s="30">
        <v>0</v>
      </c>
      <c r="L23" s="34">
        <f t="shared" si="0"/>
        <v>0</v>
      </c>
      <c r="M23" s="30"/>
      <c r="N23" s="30"/>
    </row>
    <row r="24" spans="1:17" ht="14" x14ac:dyDescent="0.2">
      <c r="A24" s="19" t="s">
        <v>85</v>
      </c>
      <c r="B24" s="12">
        <v>8.3144621000000001</v>
      </c>
      <c r="C24" s="14"/>
      <c r="D24" s="13" t="s">
        <v>144</v>
      </c>
      <c r="E24" s="21">
        <v>0.7</v>
      </c>
      <c r="F24" s="14"/>
      <c r="G24" s="26" t="s">
        <v>87</v>
      </c>
      <c r="H24" s="27">
        <f>H23/E6</f>
        <v>0.4881165950225787</v>
      </c>
      <c r="I24" s="14"/>
      <c r="J24" s="33" t="s">
        <v>7</v>
      </c>
      <c r="K24" s="30">
        <v>0</v>
      </c>
      <c r="L24" s="34">
        <f t="shared" si="0"/>
        <v>0</v>
      </c>
      <c r="M24" s="30"/>
      <c r="N24" s="30"/>
    </row>
    <row r="25" spans="1:17" ht="14" x14ac:dyDescent="0.2">
      <c r="A25" s="19" t="s">
        <v>88</v>
      </c>
      <c r="B25" s="64">
        <v>1.1767300000000001</v>
      </c>
      <c r="C25" s="41" t="s">
        <v>89</v>
      </c>
      <c r="D25" s="14"/>
      <c r="E25" s="48"/>
      <c r="F25" s="14"/>
      <c r="G25" s="14"/>
      <c r="H25" s="14"/>
      <c r="I25" s="14"/>
      <c r="J25" s="33" t="s">
        <v>22</v>
      </c>
      <c r="K25" s="30">
        <v>0</v>
      </c>
      <c r="L25" s="34">
        <f t="shared" si="0"/>
        <v>0</v>
      </c>
      <c r="M25" s="30"/>
      <c r="N25" s="30"/>
    </row>
    <row r="26" spans="1:17" ht="14" x14ac:dyDescent="0.2">
      <c r="A26" s="19" t="s">
        <v>90</v>
      </c>
      <c r="B26" s="64">
        <v>1.16256</v>
      </c>
      <c r="C26" s="41" t="s">
        <v>89</v>
      </c>
      <c r="D26" s="14"/>
      <c r="E26" s="14"/>
      <c r="F26" s="14"/>
      <c r="G26" s="77" t="s">
        <v>91</v>
      </c>
      <c r="H26" s="78"/>
      <c r="I26" s="14"/>
      <c r="J26" s="33"/>
      <c r="K26" s="30">
        <v>0</v>
      </c>
      <c r="L26" s="34"/>
      <c r="M26" s="30"/>
      <c r="N26" s="30"/>
    </row>
    <row r="27" spans="1:17" ht="14" x14ac:dyDescent="0.2">
      <c r="A27" s="19" t="s">
        <v>92</v>
      </c>
      <c r="B27" s="12">
        <v>1.01325</v>
      </c>
      <c r="C27" s="14"/>
      <c r="D27" s="14"/>
      <c r="E27" s="14"/>
      <c r="F27" s="14"/>
      <c r="G27" s="17" t="s">
        <v>29</v>
      </c>
      <c r="H27" s="18" t="s">
        <v>30</v>
      </c>
      <c r="I27" s="14"/>
      <c r="J27" s="33" t="s">
        <v>20</v>
      </c>
      <c r="K27" s="30">
        <v>0</v>
      </c>
      <c r="L27" s="34">
        <f t="shared" ref="L27:L32" si="1">Comp($J$33,$J27)</f>
        <v>0</v>
      </c>
      <c r="M27" s="30"/>
      <c r="N27" s="30"/>
    </row>
    <row r="28" spans="1:17" ht="14" x14ac:dyDescent="0.2">
      <c r="A28" s="19" t="s">
        <v>93</v>
      </c>
      <c r="B28" s="12">
        <v>288.14999999999998</v>
      </c>
      <c r="C28" s="14"/>
      <c r="D28" s="14"/>
      <c r="E28" s="14"/>
      <c r="F28" s="14"/>
      <c r="G28" s="19" t="s">
        <v>94</v>
      </c>
      <c r="H28" s="12">
        <f>E9+E12*2</f>
        <v>522</v>
      </c>
      <c r="I28" s="14"/>
      <c r="J28" s="33" t="s">
        <v>9</v>
      </c>
      <c r="K28" s="30">
        <v>0</v>
      </c>
      <c r="L28" s="34">
        <f t="shared" si="1"/>
        <v>0</v>
      </c>
      <c r="M28" s="30"/>
      <c r="N28" s="14"/>
    </row>
    <row r="29" spans="1:17" ht="14" x14ac:dyDescent="0.2">
      <c r="A29" s="19" t="s">
        <v>95</v>
      </c>
      <c r="B29" s="12">
        <f>B28-273.15</f>
        <v>15</v>
      </c>
      <c r="C29" s="14"/>
      <c r="D29" s="77" t="s">
        <v>141</v>
      </c>
      <c r="E29" s="78"/>
      <c r="F29" s="14"/>
      <c r="G29" s="19" t="s">
        <v>96</v>
      </c>
      <c r="H29" s="12">
        <f>E9+E12*4</f>
        <v>986</v>
      </c>
      <c r="I29" s="14"/>
      <c r="J29" s="33" t="s">
        <v>10</v>
      </c>
      <c r="K29" s="30">
        <v>0</v>
      </c>
      <c r="L29" s="34">
        <f t="shared" si="1"/>
        <v>0</v>
      </c>
      <c r="M29" s="30"/>
      <c r="N29" s="30"/>
    </row>
    <row r="30" spans="1:17" ht="14" x14ac:dyDescent="0.2">
      <c r="A30" s="19" t="s">
        <v>97</v>
      </c>
      <c r="B30" s="12">
        <v>1.0007130500000001</v>
      </c>
      <c r="C30" s="14"/>
      <c r="D30" s="16" t="s">
        <v>29</v>
      </c>
      <c r="E30" s="28" t="s">
        <v>30</v>
      </c>
      <c r="F30" s="14"/>
      <c r="G30" s="19" t="s">
        <v>98</v>
      </c>
      <c r="H30" s="35">
        <v>1000</v>
      </c>
      <c r="I30" s="14"/>
      <c r="J30" s="33" t="s">
        <v>11</v>
      </c>
      <c r="K30" s="30">
        <v>0</v>
      </c>
      <c r="L30" s="34">
        <f t="shared" si="1"/>
        <v>0</v>
      </c>
      <c r="M30" s="30"/>
      <c r="N30" s="30"/>
    </row>
    <row r="31" spans="1:17" ht="14" x14ac:dyDescent="0.2">
      <c r="A31" s="19" t="s">
        <v>99</v>
      </c>
      <c r="B31" s="12">
        <v>3.0649999999999999</v>
      </c>
      <c r="C31" s="14"/>
      <c r="D31" s="19" t="s">
        <v>137</v>
      </c>
      <c r="E31" s="11">
        <f>(B12 - 273.15) * 9/5 + 32</f>
        <v>89.582000000000022</v>
      </c>
      <c r="F31" s="14"/>
      <c r="G31" s="13" t="s">
        <v>100</v>
      </c>
      <c r="H31" s="21">
        <f>(H30/H28)*3</f>
        <v>5.7471264367816088</v>
      </c>
      <c r="I31" s="14"/>
      <c r="J31" s="33" t="s">
        <v>12</v>
      </c>
      <c r="K31" s="30">
        <v>0</v>
      </c>
      <c r="L31" s="34">
        <f t="shared" si="1"/>
        <v>0</v>
      </c>
      <c r="M31" s="30"/>
      <c r="N31" s="30"/>
    </row>
    <row r="32" spans="1:17" ht="14" x14ac:dyDescent="0.2">
      <c r="A32" s="13" t="s">
        <v>101</v>
      </c>
      <c r="B32" s="21">
        <f>(H14*E6)/(B26*H8*B24)</f>
        <v>45969.36603312815</v>
      </c>
      <c r="C32" s="14"/>
      <c r="D32" s="19" t="s">
        <v>112</v>
      </c>
      <c r="E32" s="11">
        <f>B13*14.504</f>
        <v>4181.9270757060267</v>
      </c>
      <c r="F32" s="14"/>
      <c r="G32" s="22" t="s">
        <v>102</v>
      </c>
      <c r="H32" s="25">
        <f>ROUNDDOWN(H31, 0)</f>
        <v>5</v>
      </c>
      <c r="I32" s="14"/>
      <c r="J32" s="32" t="s">
        <v>13</v>
      </c>
      <c r="K32" s="31">
        <v>0</v>
      </c>
      <c r="L32" s="42">
        <f t="shared" si="1"/>
        <v>0</v>
      </c>
      <c r="M32" s="43" t="s">
        <v>21</v>
      </c>
      <c r="N32" s="43">
        <f>SUM(L5:L32)</f>
        <v>100</v>
      </c>
      <c r="O32" s="30"/>
      <c r="P32" s="30"/>
      <c r="Q32" s="30"/>
    </row>
    <row r="33" spans="1:17" ht="14" x14ac:dyDescent="0.2">
      <c r="A33" s="14"/>
      <c r="B33" s="14"/>
      <c r="C33" s="14"/>
      <c r="D33" s="19" t="s">
        <v>138</v>
      </c>
      <c r="E33" s="12">
        <f>(H8 - 273.15) * 9/5 + 32</f>
        <v>146.96600000000001</v>
      </c>
      <c r="F33" s="14"/>
      <c r="G33" s="24" t="s">
        <v>103</v>
      </c>
      <c r="H33" s="25">
        <f>H32^2</f>
        <v>25</v>
      </c>
      <c r="I33" s="14"/>
      <c r="J33" s="30" t="str">
        <f>FluidString($J$5:$J$32,K$5:K$32)</f>
        <v>Hydrogen;100</v>
      </c>
      <c r="K33" s="30"/>
      <c r="L33" s="30"/>
      <c r="M33" s="30"/>
      <c r="N33" s="30"/>
      <c r="O33" s="30"/>
      <c r="P33" s="30"/>
      <c r="Q33" s="30"/>
    </row>
    <row r="34" spans="1:17" ht="15" thickBot="1" x14ac:dyDescent="0.25">
      <c r="A34" s="44"/>
      <c r="B34" s="41"/>
      <c r="C34" s="14"/>
      <c r="D34" s="13" t="s">
        <v>111</v>
      </c>
      <c r="E34" s="13">
        <f>H14*14.504</f>
        <v>4184.3380981368455</v>
      </c>
      <c r="F34" s="14"/>
      <c r="G34" s="24" t="s">
        <v>104</v>
      </c>
      <c r="H34" s="23">
        <f>H23*H33</f>
        <v>6334295.6071090735</v>
      </c>
      <c r="I34" s="14"/>
      <c r="J34" s="30"/>
      <c r="K34" s="30"/>
      <c r="L34" s="30"/>
      <c r="M34" s="30"/>
      <c r="N34" s="30"/>
      <c r="O34" s="30"/>
      <c r="P34" s="30"/>
      <c r="Q34" s="30"/>
    </row>
    <row r="35" spans="1:17" ht="14" x14ac:dyDescent="0.2">
      <c r="A35" s="45" t="s">
        <v>105</v>
      </c>
      <c r="B35" s="41"/>
      <c r="C35" s="14"/>
      <c r="D35" s="19" t="s">
        <v>88</v>
      </c>
      <c r="E35" s="62">
        <f>ZDetail($J$33,$E$31,$E$32)</f>
        <v>1.17669</v>
      </c>
      <c r="F35" s="14"/>
      <c r="G35" s="26" t="s">
        <v>106</v>
      </c>
      <c r="H35" s="27">
        <f>H34*10^-6</f>
        <v>6.3342956071090732</v>
      </c>
      <c r="I35" s="14"/>
      <c r="J35" s="14" t="s">
        <v>132</v>
      </c>
      <c r="K35" s="30"/>
      <c r="L35" s="30"/>
      <c r="M35" s="30"/>
      <c r="N35" s="30"/>
      <c r="O35" s="30"/>
      <c r="P35" s="30"/>
      <c r="Q35" s="30"/>
    </row>
    <row r="36" spans="1:17" ht="14" x14ac:dyDescent="0.2">
      <c r="A36" s="46" t="s">
        <v>114</v>
      </c>
      <c r="B36" s="14"/>
      <c r="C36" s="14"/>
      <c r="D36" s="13" t="s">
        <v>90</v>
      </c>
      <c r="E36" s="63">
        <f>ZDetail($J$33,$E$33,$E$34)</f>
        <v>1.16252</v>
      </c>
      <c r="F36" s="14"/>
      <c r="G36" s="14"/>
      <c r="H36" s="14"/>
      <c r="I36" s="14"/>
      <c r="J36" s="30" t="s">
        <v>143</v>
      </c>
      <c r="K36" s="30"/>
      <c r="L36" s="30"/>
      <c r="M36" s="30"/>
      <c r="N36" s="30"/>
      <c r="O36" s="14"/>
      <c r="P36" s="30"/>
      <c r="Q36" s="30"/>
    </row>
    <row r="37" spans="1:17" ht="15" thickBot="1" x14ac:dyDescent="0.25">
      <c r="A37" s="47" t="s">
        <v>107</v>
      </c>
      <c r="B37" s="14"/>
      <c r="C37" s="14"/>
      <c r="D37" s="69"/>
      <c r="E37" s="69"/>
      <c r="F37" s="14"/>
      <c r="G37" s="14"/>
      <c r="H37" s="14"/>
      <c r="I37" s="14"/>
      <c r="J37" s="14" t="s">
        <v>139</v>
      </c>
      <c r="K37" s="30"/>
      <c r="L37" s="30"/>
      <c r="M37" s="30"/>
      <c r="N37" s="30"/>
      <c r="O37" s="14"/>
      <c r="P37" s="30"/>
      <c r="Q37" s="30"/>
    </row>
    <row r="38" spans="1:17" ht="14" x14ac:dyDescent="0.2">
      <c r="A38" s="10"/>
      <c r="B38" s="14"/>
      <c r="C38" s="14"/>
      <c r="D38" s="10"/>
      <c r="E38" s="10"/>
      <c r="F38" s="14"/>
      <c r="G38" s="14"/>
      <c r="H38" s="14"/>
      <c r="I38" s="14"/>
      <c r="J38" s="30" t="s">
        <v>142</v>
      </c>
      <c r="K38" s="30"/>
      <c r="L38" s="30"/>
      <c r="M38" s="30"/>
      <c r="N38" s="30"/>
      <c r="O38" s="14"/>
      <c r="P38" s="30"/>
      <c r="Q38" s="30"/>
    </row>
    <row r="39" spans="1:17" ht="14" x14ac:dyDescent="0.2">
      <c r="A39" s="14" t="s">
        <v>108</v>
      </c>
      <c r="B39" s="14"/>
      <c r="C39" s="14"/>
      <c r="D39" s="10"/>
      <c r="E39" s="10"/>
      <c r="F39" s="14"/>
      <c r="G39" s="14"/>
      <c r="H39" s="14"/>
      <c r="I39" s="14"/>
      <c r="J39" s="60" t="s">
        <v>131</v>
      </c>
      <c r="K39" s="30"/>
      <c r="L39" s="30"/>
      <c r="M39" s="30"/>
      <c r="N39" s="30"/>
      <c r="O39" s="14"/>
      <c r="P39" s="30"/>
      <c r="Q39" s="30"/>
    </row>
    <row r="40" spans="1:17" ht="14" x14ac:dyDescent="0.2">
      <c r="A40" s="48" t="s">
        <v>109</v>
      </c>
      <c r="B40" s="41"/>
      <c r="C40" s="14"/>
      <c r="D40" s="10"/>
      <c r="E40" s="10"/>
      <c r="F40" s="14"/>
      <c r="G40" s="14"/>
      <c r="H40" s="14"/>
      <c r="I40" s="14"/>
      <c r="K40" s="30"/>
      <c r="L40" s="30"/>
      <c r="M40" s="30"/>
      <c r="N40" s="30"/>
      <c r="O40" s="30"/>
      <c r="P40" s="30"/>
      <c r="Q40" s="30"/>
    </row>
    <row r="41" spans="1:17" ht="14" x14ac:dyDescent="0.2">
      <c r="A41" s="53" t="s">
        <v>110</v>
      </c>
      <c r="B41" s="41"/>
      <c r="C41" s="14"/>
      <c r="D41" s="48"/>
      <c r="E41" s="48"/>
      <c r="F41" s="14"/>
      <c r="G41" s="14"/>
      <c r="H41" s="14"/>
      <c r="I41" s="14"/>
      <c r="J41" s="30"/>
      <c r="K41" s="30"/>
      <c r="L41" s="30"/>
      <c r="M41" s="30"/>
      <c r="N41" s="30"/>
      <c r="O41" s="30"/>
      <c r="P41" s="30"/>
      <c r="Q41" s="30"/>
    </row>
    <row r="42" spans="1:17" ht="14" x14ac:dyDescent="0.2">
      <c r="A42" s="53" t="s">
        <v>147</v>
      </c>
      <c r="B42" s="14"/>
      <c r="C42" s="14"/>
      <c r="D42" s="14"/>
      <c r="E42" s="70"/>
      <c r="F42" s="14"/>
      <c r="G42" s="14"/>
      <c r="H42" s="14"/>
      <c r="I42" s="14"/>
      <c r="J42" s="30"/>
      <c r="K42" s="30"/>
      <c r="L42" s="30"/>
      <c r="M42" s="30"/>
      <c r="N42" s="30"/>
      <c r="O42" s="30"/>
      <c r="P42" s="30"/>
      <c r="Q42" s="30"/>
    </row>
    <row r="43" spans="1:17" ht="14" x14ac:dyDescent="0.2">
      <c r="A43" s="14"/>
      <c r="B43" s="14"/>
      <c r="C43" s="14"/>
      <c r="D43" s="14"/>
      <c r="E43" s="71"/>
      <c r="F43" s="14"/>
      <c r="G43" s="14"/>
      <c r="H43" s="14"/>
      <c r="I43" s="14"/>
      <c r="J43" s="30"/>
      <c r="K43" s="30"/>
      <c r="L43" s="30"/>
      <c r="M43" s="30"/>
      <c r="N43" s="30"/>
      <c r="O43" s="30"/>
      <c r="P43" s="30"/>
      <c r="Q43" s="30"/>
    </row>
    <row r="44" spans="1:17" ht="14" x14ac:dyDescent="0.2">
      <c r="A44" s="14"/>
      <c r="B44" s="14"/>
      <c r="C44" s="14"/>
      <c r="D44" s="14"/>
      <c r="E44" s="71"/>
      <c r="F44" s="14"/>
      <c r="G44" s="14"/>
      <c r="H44" s="14"/>
      <c r="I44" s="14"/>
      <c r="J44" s="30"/>
      <c r="K44" s="30"/>
      <c r="L44" s="30"/>
      <c r="M44" s="30"/>
      <c r="N44" s="30"/>
      <c r="O44" s="30"/>
      <c r="P44" s="30"/>
      <c r="Q44" s="30"/>
    </row>
    <row r="45" spans="1:17" ht="14" x14ac:dyDescent="0.2">
      <c r="A45" s="14"/>
      <c r="D45" s="14"/>
      <c r="E45" s="14"/>
      <c r="F45" s="14"/>
      <c r="G45" s="14"/>
      <c r="H45" s="14"/>
      <c r="I45" s="14"/>
      <c r="J45" s="30"/>
      <c r="K45" s="30"/>
      <c r="L45" s="30"/>
      <c r="M45" s="30"/>
      <c r="N45" s="30"/>
      <c r="O45" s="30"/>
      <c r="P45" s="30"/>
      <c r="Q45" s="30"/>
    </row>
    <row r="46" spans="1:17" ht="14" x14ac:dyDescent="0.2">
      <c r="A46" s="14"/>
      <c r="D46" s="14"/>
      <c r="E46" s="14"/>
      <c r="F46" s="14"/>
      <c r="G46" s="14"/>
      <c r="H46" s="14"/>
      <c r="I46" s="14"/>
      <c r="J46" s="30"/>
      <c r="K46" s="30"/>
      <c r="L46" s="30"/>
      <c r="M46" s="30"/>
      <c r="N46" s="30"/>
      <c r="O46" s="30"/>
      <c r="P46" s="30"/>
      <c r="Q46" s="30"/>
    </row>
    <row r="47" spans="1:17" ht="14" x14ac:dyDescent="0.2">
      <c r="A47" s="14"/>
      <c r="D47" s="14"/>
      <c r="E47" s="67"/>
      <c r="F47" s="14"/>
      <c r="G47" s="14"/>
      <c r="H47" s="14"/>
      <c r="I47" s="14"/>
      <c r="J47" s="30"/>
      <c r="K47" s="30"/>
      <c r="L47" s="30"/>
      <c r="M47" s="30"/>
      <c r="N47" s="30"/>
      <c r="O47" s="30"/>
      <c r="P47" s="30"/>
      <c r="Q47" s="30"/>
    </row>
    <row r="48" spans="1:17" ht="14" x14ac:dyDescent="0.2">
      <c r="A48" s="14"/>
      <c r="D48" s="14"/>
      <c r="E48" s="68"/>
      <c r="F48" s="14"/>
      <c r="G48" s="14"/>
      <c r="H48" s="14"/>
      <c r="I48" s="14"/>
      <c r="J48" s="30"/>
      <c r="K48" s="30"/>
      <c r="L48" s="30"/>
      <c r="M48" s="30"/>
      <c r="N48" s="30"/>
      <c r="O48" s="30"/>
      <c r="P48" s="30"/>
      <c r="Q48" s="30"/>
    </row>
    <row r="49" spans="1:17" ht="14" x14ac:dyDescent="0.2">
      <c r="A49" s="14"/>
      <c r="D49" s="14"/>
      <c r="E49" s="14"/>
      <c r="F49" s="14"/>
      <c r="G49" s="14"/>
      <c r="H49" s="14"/>
      <c r="I49" s="14"/>
      <c r="J49" s="30"/>
      <c r="K49" s="30"/>
      <c r="L49" s="30"/>
      <c r="M49" s="30"/>
      <c r="N49" s="30"/>
      <c r="O49" s="30"/>
      <c r="P49" s="30"/>
      <c r="Q49" s="30"/>
    </row>
    <row r="50" spans="1:17" ht="14" x14ac:dyDescent="0.2">
      <c r="A50" s="14"/>
      <c r="D50" s="14"/>
      <c r="E50" s="14"/>
      <c r="F50" s="14"/>
      <c r="G50" s="14"/>
      <c r="H50" s="14"/>
      <c r="I50" s="14"/>
      <c r="J50" s="30"/>
      <c r="K50" s="30"/>
      <c r="L50" s="30"/>
      <c r="M50" s="30"/>
      <c r="N50" s="30"/>
      <c r="O50" s="30"/>
      <c r="P50" s="30"/>
      <c r="Q50" s="30"/>
    </row>
    <row r="51" spans="1:17" ht="14" x14ac:dyDescent="0.2">
      <c r="A51" s="14"/>
      <c r="D51" s="14"/>
      <c r="E51" s="14"/>
      <c r="F51" s="14"/>
      <c r="G51" s="14"/>
      <c r="H51" s="14"/>
      <c r="I51" s="14"/>
      <c r="J51" s="30"/>
      <c r="K51" s="30"/>
      <c r="L51" s="30"/>
      <c r="M51" s="30"/>
      <c r="N51" s="30"/>
      <c r="O51" s="30"/>
      <c r="P51" s="30"/>
      <c r="Q51" s="30"/>
    </row>
    <row r="52" spans="1:17" ht="14" x14ac:dyDescent="0.2">
      <c r="A52" s="14"/>
      <c r="D52" s="14"/>
      <c r="E52" s="14"/>
      <c r="F52" s="14"/>
      <c r="G52" s="14"/>
      <c r="H52" s="14"/>
      <c r="I52" s="14"/>
      <c r="J52" s="30"/>
      <c r="K52" s="30"/>
      <c r="L52" s="30"/>
      <c r="M52" s="30"/>
      <c r="N52" s="30"/>
      <c r="O52" s="30"/>
      <c r="P52" s="30"/>
      <c r="Q52" s="30"/>
    </row>
    <row r="53" spans="1:17" ht="14" x14ac:dyDescent="0.2">
      <c r="A53" s="14"/>
      <c r="B53" s="14"/>
      <c r="C53" s="14"/>
      <c r="D53" s="14"/>
      <c r="E53" s="14"/>
      <c r="F53" s="14"/>
      <c r="G53" s="14"/>
      <c r="H53" s="14"/>
      <c r="I53" s="14"/>
      <c r="J53" s="30"/>
      <c r="K53" s="30"/>
      <c r="L53" s="30"/>
      <c r="M53" s="30"/>
      <c r="N53" s="30"/>
      <c r="O53" s="30"/>
      <c r="P53" s="30"/>
      <c r="Q53" s="30"/>
    </row>
    <row r="54" spans="1:17" ht="14" x14ac:dyDescent="0.2">
      <c r="A54" s="30"/>
      <c r="B54" s="14"/>
      <c r="C54" s="14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</row>
    <row r="55" spans="1:17" ht="14" x14ac:dyDescent="0.2">
      <c r="A55" s="49"/>
      <c r="B55" s="14"/>
      <c r="C55" s="14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</row>
    <row r="56" spans="1:17" ht="14" x14ac:dyDescent="0.2">
      <c r="A56" s="49"/>
      <c r="B56" s="14"/>
      <c r="C56" s="14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</row>
    <row r="57" spans="1:17" ht="14" x14ac:dyDescent="0.2">
      <c r="A57" s="49"/>
      <c r="B57" s="14"/>
      <c r="C57" s="14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</row>
    <row r="58" spans="1:17" ht="14" x14ac:dyDescent="0.2">
      <c r="C58" s="14"/>
    </row>
    <row r="59" spans="1:17" ht="14" x14ac:dyDescent="0.2">
      <c r="B59" s="14"/>
      <c r="C59" s="14"/>
      <c r="I59" s="4"/>
      <c r="J59" s="4"/>
    </row>
    <row r="60" spans="1:17" ht="14" x14ac:dyDescent="0.2">
      <c r="B60" s="14"/>
      <c r="C60" s="14"/>
      <c r="I60" s="4"/>
      <c r="J60" s="4"/>
      <c r="K60" s="4"/>
      <c r="L60" s="4"/>
    </row>
    <row r="61" spans="1:17" ht="14" x14ac:dyDescent="0.2">
      <c r="A61" s="4"/>
      <c r="C61" s="14"/>
      <c r="D61" s="6"/>
      <c r="G61" s="2"/>
      <c r="H61" s="2"/>
      <c r="I61" s="4"/>
      <c r="J61" s="4"/>
      <c r="K61" s="4"/>
      <c r="L61" s="4"/>
    </row>
    <row r="62" spans="1:17" ht="13" x14ac:dyDescent="0.15">
      <c r="A62" s="4"/>
      <c r="D62" s="6"/>
      <c r="G62" s="2"/>
      <c r="H62" s="2"/>
      <c r="I62" s="4"/>
      <c r="J62" s="4"/>
      <c r="K62" s="4"/>
      <c r="L62" s="4"/>
    </row>
    <row r="63" spans="1:17" ht="14" x14ac:dyDescent="0.2">
      <c r="A63" s="4"/>
      <c r="B63" s="14"/>
      <c r="D63" s="6"/>
      <c r="G63" s="2"/>
      <c r="H63" s="2"/>
      <c r="I63" s="4"/>
      <c r="J63" s="4"/>
      <c r="K63" s="4"/>
      <c r="L63" s="4"/>
    </row>
    <row r="64" spans="1:17" ht="14" x14ac:dyDescent="0.2">
      <c r="A64" s="4"/>
      <c r="B64" s="14"/>
      <c r="D64" s="6"/>
      <c r="G64" s="2"/>
      <c r="H64" s="2"/>
      <c r="I64" s="4"/>
      <c r="J64" s="4"/>
      <c r="K64" s="4"/>
      <c r="L64" s="4"/>
    </row>
    <row r="65" spans="1:12" ht="14" x14ac:dyDescent="0.2">
      <c r="A65" s="4"/>
      <c r="B65" s="30"/>
      <c r="D65" s="6"/>
      <c r="G65" s="2"/>
      <c r="H65" s="2"/>
      <c r="I65" s="4"/>
      <c r="J65" s="4"/>
      <c r="K65" s="4"/>
      <c r="L65" s="4"/>
    </row>
    <row r="66" spans="1:12" ht="13" x14ac:dyDescent="0.15">
      <c r="A66" s="4"/>
      <c r="D66" s="6"/>
      <c r="G66" s="2"/>
      <c r="H66" s="2"/>
      <c r="I66" s="4"/>
      <c r="J66" s="4"/>
      <c r="K66" s="4"/>
      <c r="L66" s="4"/>
    </row>
    <row r="67" spans="1:12" ht="13" x14ac:dyDescent="0.15">
      <c r="A67" s="4"/>
      <c r="D67" s="6"/>
      <c r="G67" s="2"/>
      <c r="H67" s="2"/>
      <c r="I67" s="4"/>
      <c r="J67" s="4"/>
      <c r="K67" s="4"/>
      <c r="L67" s="4"/>
    </row>
    <row r="68" spans="1:12" ht="13" x14ac:dyDescent="0.15">
      <c r="A68" s="4"/>
      <c r="D68" s="6"/>
      <c r="G68" s="2"/>
      <c r="H68" s="2"/>
      <c r="I68" s="4"/>
      <c r="J68" s="4"/>
      <c r="K68" s="4"/>
      <c r="L68" s="4"/>
    </row>
    <row r="69" spans="1:12" ht="13" x14ac:dyDescent="0.15">
      <c r="A69" s="4"/>
      <c r="D69" s="6"/>
      <c r="G69" s="2"/>
      <c r="H69" s="2"/>
      <c r="I69" s="4"/>
      <c r="J69" s="4"/>
      <c r="K69" s="4"/>
      <c r="L69" s="4"/>
    </row>
    <row r="70" spans="1:12" ht="13" x14ac:dyDescent="0.15">
      <c r="A70" s="4"/>
      <c r="D70" s="6"/>
      <c r="G70" s="2"/>
      <c r="H70" s="2"/>
      <c r="I70" s="4"/>
      <c r="J70" s="4"/>
      <c r="K70" s="4"/>
      <c r="L70" s="4"/>
    </row>
    <row r="71" spans="1:12" ht="13" x14ac:dyDescent="0.15">
      <c r="A71" s="4"/>
      <c r="D71" s="6"/>
      <c r="G71" s="2"/>
      <c r="H71" s="2"/>
      <c r="I71" s="4"/>
      <c r="J71" s="4"/>
      <c r="K71" s="4"/>
      <c r="L71" s="4"/>
    </row>
    <row r="72" spans="1:12" ht="13" x14ac:dyDescent="0.15">
      <c r="A72" s="4"/>
      <c r="D72" s="6"/>
      <c r="G72" s="2"/>
      <c r="H72" s="2"/>
      <c r="I72" s="4"/>
      <c r="J72" s="4"/>
      <c r="K72" s="4"/>
      <c r="L72" s="4"/>
    </row>
    <row r="73" spans="1:12" ht="13" x14ac:dyDescent="0.15">
      <c r="A73" s="4"/>
      <c r="D73" s="6"/>
      <c r="G73" s="2"/>
      <c r="H73" s="2"/>
      <c r="I73" s="4"/>
      <c r="J73" s="4"/>
      <c r="K73" s="4"/>
      <c r="L73" s="4"/>
    </row>
    <row r="74" spans="1:12" ht="13" x14ac:dyDescent="0.15">
      <c r="A74" s="4"/>
      <c r="D74" s="6"/>
      <c r="G74" s="2"/>
      <c r="H74" s="2"/>
      <c r="I74" s="4"/>
      <c r="J74" s="4"/>
      <c r="K74" s="4"/>
      <c r="L74" s="4"/>
    </row>
    <row r="75" spans="1:12" ht="13" x14ac:dyDescent="0.15">
      <c r="A75" s="4"/>
      <c r="D75" s="6"/>
      <c r="G75" s="2"/>
      <c r="H75" s="2"/>
      <c r="I75" s="4"/>
      <c r="J75" s="4"/>
      <c r="K75" s="4"/>
      <c r="L75" s="4"/>
    </row>
    <row r="76" spans="1:12" ht="13" x14ac:dyDescent="0.15">
      <c r="H76" s="2"/>
    </row>
    <row r="82" spans="1:3" x14ac:dyDescent="0.15">
      <c r="B82" s="6"/>
      <c r="C82" s="4"/>
    </row>
    <row r="83" spans="1:3" x14ac:dyDescent="0.15">
      <c r="A83" s="4"/>
    </row>
    <row r="84" spans="1:3" x14ac:dyDescent="0.15">
      <c r="A84" s="4"/>
    </row>
    <row r="85" spans="1:3" x14ac:dyDescent="0.15">
      <c r="A85" s="4"/>
    </row>
    <row r="86" spans="1:3" x14ac:dyDescent="0.15">
      <c r="A86" s="4"/>
      <c r="B86" s="7"/>
    </row>
    <row r="87" spans="1:3" x14ac:dyDescent="0.15">
      <c r="A87" s="4"/>
      <c r="B87" s="7"/>
    </row>
    <row r="88" spans="1:3" x14ac:dyDescent="0.15">
      <c r="A88" s="4"/>
      <c r="B88" s="7"/>
    </row>
    <row r="89" spans="1:3" x14ac:dyDescent="0.15">
      <c r="A89" s="4"/>
      <c r="B89" s="7"/>
    </row>
    <row r="92" spans="1:3" x14ac:dyDescent="0.15">
      <c r="A92" s="4"/>
    </row>
    <row r="93" spans="1:3" x14ac:dyDescent="0.15">
      <c r="A93" s="4"/>
    </row>
    <row r="94" spans="1:3" x14ac:dyDescent="0.15">
      <c r="A94" s="4"/>
    </row>
    <row r="95" spans="1:3" x14ac:dyDescent="0.15">
      <c r="A95" s="4"/>
    </row>
    <row r="96" spans="1:3" x14ac:dyDescent="0.15">
      <c r="A96" s="4"/>
    </row>
    <row r="97" spans="1:13" x14ac:dyDescent="0.15">
      <c r="A97" s="4"/>
    </row>
    <row r="98" spans="1:13" x14ac:dyDescent="0.15">
      <c r="A98" s="8"/>
    </row>
    <row r="99" spans="1:13" x14ac:dyDescent="0.15">
      <c r="A99" s="8"/>
    </row>
    <row r="107" spans="1:13" ht="13" x14ac:dyDescent="0.15">
      <c r="I107" s="2"/>
    </row>
    <row r="108" spans="1:13" ht="13" x14ac:dyDescent="0.15">
      <c r="I108" s="2"/>
    </row>
    <row r="109" spans="1:13" ht="13" x14ac:dyDescent="0.15">
      <c r="I109" s="2"/>
      <c r="J109" s="3"/>
      <c r="L109" s="3"/>
    </row>
    <row r="110" spans="1:13" ht="13" x14ac:dyDescent="0.15">
      <c r="I110" s="2"/>
      <c r="J110" s="3"/>
      <c r="L110" s="3"/>
    </row>
    <row r="111" spans="1:13" ht="13" x14ac:dyDescent="0.15">
      <c r="I111" s="5"/>
      <c r="K111" s="5"/>
      <c r="M111" s="5"/>
    </row>
    <row r="112" spans="1:13" ht="13" x14ac:dyDescent="0.15">
      <c r="I112" s="5"/>
      <c r="K112" s="5"/>
      <c r="M112" s="5"/>
    </row>
    <row r="113" spans="9:13" ht="13" x14ac:dyDescent="0.15">
      <c r="I113" s="2"/>
      <c r="J113" s="3"/>
      <c r="K113" s="3"/>
      <c r="L113" s="3"/>
      <c r="M113" s="3"/>
    </row>
    <row r="114" spans="9:13" ht="13" x14ac:dyDescent="0.15">
      <c r="I114" s="2"/>
      <c r="J114" s="3"/>
      <c r="K114" s="3"/>
      <c r="L114" s="3"/>
      <c r="M114" s="3"/>
    </row>
    <row r="115" spans="9:13" ht="13" x14ac:dyDescent="0.15">
      <c r="I115" s="2"/>
      <c r="J115" s="3"/>
      <c r="K115" s="3"/>
      <c r="L115" s="3"/>
      <c r="M115" s="3"/>
    </row>
    <row r="116" spans="9:13" ht="13" x14ac:dyDescent="0.15">
      <c r="I116" s="2"/>
      <c r="J116" s="3"/>
      <c r="K116" s="3"/>
      <c r="L116" s="3"/>
      <c r="M116" s="3"/>
    </row>
    <row r="117" spans="9:13" ht="13" x14ac:dyDescent="0.15">
      <c r="I117" s="2"/>
      <c r="J117" s="3"/>
      <c r="K117" s="3"/>
      <c r="L117" s="3"/>
      <c r="M117" s="3"/>
    </row>
    <row r="118" spans="9:13" ht="13" x14ac:dyDescent="0.15">
      <c r="I118" s="2"/>
      <c r="J118" s="3"/>
      <c r="K118" s="3"/>
      <c r="L118" s="3"/>
      <c r="M118" s="3"/>
    </row>
    <row r="119" spans="9:13" ht="13" x14ac:dyDescent="0.15">
      <c r="I119" s="2"/>
      <c r="J119" s="3"/>
      <c r="K119" s="3"/>
      <c r="L119" s="3"/>
      <c r="M119" s="3"/>
    </row>
    <row r="120" spans="9:13" ht="13" x14ac:dyDescent="0.15">
      <c r="I120" s="2"/>
      <c r="J120" s="3"/>
      <c r="K120" s="3"/>
      <c r="L120" s="3"/>
      <c r="M120" s="3"/>
    </row>
    <row r="121" spans="9:13" ht="13" x14ac:dyDescent="0.15">
      <c r="I121" s="2"/>
      <c r="J121" s="3"/>
      <c r="K121" s="3"/>
      <c r="L121" s="3"/>
      <c r="M121" s="3"/>
    </row>
    <row r="122" spans="9:13" ht="13" x14ac:dyDescent="0.15">
      <c r="I122" s="2"/>
      <c r="J122" s="3"/>
      <c r="K122" s="3"/>
      <c r="L122" s="3"/>
      <c r="M122" s="3"/>
    </row>
    <row r="123" spans="9:13" ht="13" x14ac:dyDescent="0.15">
      <c r="I123" s="2"/>
      <c r="K123" s="3"/>
    </row>
    <row r="124" spans="9:13" ht="13" x14ac:dyDescent="0.15">
      <c r="I124" s="2"/>
      <c r="K124" s="3"/>
    </row>
    <row r="125" spans="9:13" ht="13" x14ac:dyDescent="0.15">
      <c r="I125" s="2"/>
      <c r="K125" s="3"/>
    </row>
  </sheetData>
  <mergeCells count="9">
    <mergeCell ref="A19:B19"/>
    <mergeCell ref="D19:E19"/>
    <mergeCell ref="G26:H26"/>
    <mergeCell ref="D29:E29"/>
    <mergeCell ref="J3:L3"/>
    <mergeCell ref="A3:B3"/>
    <mergeCell ref="D3:E3"/>
    <mergeCell ref="G3:H3"/>
    <mergeCell ref="G16:H16"/>
  </mergeCells>
  <phoneticPr fontId="1" type="noConversion"/>
  <hyperlinks>
    <hyperlink ref="A41" r:id="rId1" xr:uid="{00000000-0004-0000-0000-000000000000}"/>
    <hyperlink ref="J39" r:id="rId2" xr:uid="{278CEA79-7DFE-B141-92F7-37CC6ADE7FED}"/>
    <hyperlink ref="A42" r:id="rId3" xr:uid="{A83A8FF3-E596-1846-BC20-1F041365C279}"/>
  </hyperlinks>
  <pageMargins left="0.75" right="0.75" top="1" bottom="1" header="0.5" footer="0.5"/>
  <pageSetup orientation="portrait"/>
  <headerFooter alignWithMargins="0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1ED90-EC61-0A43-A680-3A2B02465256}">
  <sheetPr codeName="Sheet2"/>
  <dimension ref="A1:Q54"/>
  <sheetViews>
    <sheetView zoomScale="75" zoomScaleNormal="75" workbookViewId="0">
      <selection activeCell="C48" sqref="C48"/>
    </sheetView>
  </sheetViews>
  <sheetFormatPr baseColWidth="10" defaultRowHeight="13" x14ac:dyDescent="0.15"/>
  <cols>
    <col min="1" max="1" width="59.6640625" bestFit="1" customWidth="1"/>
    <col min="2" max="2" width="12.1640625" bestFit="1" customWidth="1"/>
    <col min="4" max="4" width="44.1640625" customWidth="1"/>
    <col min="5" max="5" width="17.5" customWidth="1"/>
    <col min="7" max="7" width="40.83203125" customWidth="1"/>
    <col min="8" max="8" width="12.83203125" customWidth="1"/>
    <col min="10" max="10" width="14.6640625" bestFit="1" customWidth="1"/>
    <col min="11" max="11" width="12.1640625" bestFit="1" customWidth="1"/>
  </cols>
  <sheetData>
    <row r="1" spans="1:17" ht="19" x14ac:dyDescent="0.25">
      <c r="A1" s="9" t="s">
        <v>115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ht="14" x14ac:dyDescent="0.2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</row>
    <row r="3" spans="1:17" ht="14" x14ac:dyDescent="0.2">
      <c r="A3" s="77" t="s">
        <v>34</v>
      </c>
      <c r="B3" s="78"/>
      <c r="C3" s="14"/>
      <c r="D3" s="77" t="s">
        <v>35</v>
      </c>
      <c r="E3" s="78"/>
      <c r="F3" s="14"/>
      <c r="G3" s="77" t="s">
        <v>116</v>
      </c>
      <c r="H3" s="78"/>
      <c r="I3" s="14"/>
      <c r="J3" s="74" t="s">
        <v>129</v>
      </c>
      <c r="K3" s="75"/>
      <c r="L3" s="76"/>
      <c r="M3" s="30"/>
      <c r="N3" s="30"/>
      <c r="O3" s="14"/>
      <c r="P3" s="14"/>
      <c r="Q3" s="14"/>
    </row>
    <row r="4" spans="1:17" ht="14" x14ac:dyDescent="0.2">
      <c r="A4" s="17" t="s">
        <v>29</v>
      </c>
      <c r="B4" s="18" t="s">
        <v>30</v>
      </c>
      <c r="C4" s="14"/>
      <c r="D4" s="17" t="s">
        <v>29</v>
      </c>
      <c r="E4" s="18" t="s">
        <v>30</v>
      </c>
      <c r="F4" s="14"/>
      <c r="G4" s="17" t="s">
        <v>29</v>
      </c>
      <c r="H4" s="18" t="s">
        <v>30</v>
      </c>
      <c r="I4" s="14"/>
      <c r="J4" s="54" t="s">
        <v>14</v>
      </c>
      <c r="K4" s="55" t="s">
        <v>31</v>
      </c>
      <c r="L4" s="28" t="s">
        <v>32</v>
      </c>
      <c r="M4" s="30"/>
      <c r="N4" s="30"/>
      <c r="O4" s="14"/>
      <c r="P4" s="14"/>
      <c r="Q4" s="14"/>
    </row>
    <row r="5" spans="1:17" ht="14" x14ac:dyDescent="0.2">
      <c r="A5" s="19" t="s">
        <v>118</v>
      </c>
      <c r="B5" s="35">
        <v>6</v>
      </c>
      <c r="C5" s="14"/>
      <c r="D5" s="19" t="s">
        <v>38</v>
      </c>
      <c r="E5" s="20">
        <f>E23</f>
        <v>102625.36001726658</v>
      </c>
      <c r="F5" s="14"/>
      <c r="G5" s="19" t="s">
        <v>136</v>
      </c>
      <c r="H5" s="12">
        <f>H6-273.15</f>
        <v>15.610000000000014</v>
      </c>
      <c r="I5" s="14"/>
      <c r="J5" s="33" t="s">
        <v>0</v>
      </c>
      <c r="K5" s="30">
        <v>0</v>
      </c>
      <c r="L5" s="34">
        <f t="shared" ref="L5:L25" si="0">Comp($J$33,$J5)</f>
        <v>0</v>
      </c>
      <c r="M5" s="30"/>
      <c r="N5" s="30"/>
      <c r="O5" s="14"/>
      <c r="P5" s="14"/>
      <c r="Q5" s="14"/>
    </row>
    <row r="6" spans="1:17" ht="14" x14ac:dyDescent="0.2">
      <c r="A6" s="19" t="s">
        <v>50</v>
      </c>
      <c r="B6" s="12">
        <f>273.15+B5</f>
        <v>279.14999999999998</v>
      </c>
      <c r="C6" s="14"/>
      <c r="D6" s="19" t="s">
        <v>40</v>
      </c>
      <c r="E6" s="12">
        <f>E24*E5</f>
        <v>71837.752012086596</v>
      </c>
      <c r="F6" s="14"/>
      <c r="G6" s="19" t="s">
        <v>41</v>
      </c>
      <c r="H6" s="12">
        <f>B6+B10*E8</f>
        <v>288.76</v>
      </c>
      <c r="I6" s="14"/>
      <c r="J6" s="33" t="s">
        <v>1</v>
      </c>
      <c r="K6" s="30">
        <v>0</v>
      </c>
      <c r="L6" s="34">
        <f t="shared" si="0"/>
        <v>0</v>
      </c>
      <c r="M6" s="30"/>
      <c r="N6" s="30"/>
      <c r="O6" s="14"/>
      <c r="P6" s="14"/>
      <c r="Q6" s="14"/>
    </row>
    <row r="7" spans="1:17" ht="14" x14ac:dyDescent="0.2">
      <c r="A7" s="19" t="s">
        <v>53</v>
      </c>
      <c r="B7" s="12">
        <f>B8-273.15</f>
        <v>10.805000000000007</v>
      </c>
      <c r="C7" s="14"/>
      <c r="D7" s="19" t="s">
        <v>43</v>
      </c>
      <c r="E7" s="35">
        <v>350</v>
      </c>
      <c r="F7" s="14"/>
      <c r="G7" s="19" t="s">
        <v>44</v>
      </c>
      <c r="H7" s="12">
        <f>H8-273.15</f>
        <v>17.470000000000027</v>
      </c>
      <c r="I7" s="14"/>
      <c r="J7" s="33" t="s">
        <v>3</v>
      </c>
      <c r="K7" s="30">
        <v>0</v>
      </c>
      <c r="L7" s="34">
        <f t="shared" si="0"/>
        <v>0</v>
      </c>
      <c r="M7" s="30"/>
      <c r="N7" s="30"/>
      <c r="O7" s="14"/>
      <c r="P7" s="14"/>
      <c r="Q7" s="14"/>
    </row>
    <row r="8" spans="1:17" ht="14" x14ac:dyDescent="0.2">
      <c r="A8" s="19" t="s">
        <v>56</v>
      </c>
      <c r="B8" s="12">
        <f>(H6+B6)/2</f>
        <v>283.95499999999998</v>
      </c>
      <c r="C8" s="14"/>
      <c r="D8" s="19" t="s">
        <v>46</v>
      </c>
      <c r="E8" s="12">
        <f>E7-E11</f>
        <v>310</v>
      </c>
      <c r="F8" s="14"/>
      <c r="G8" s="19" t="s">
        <v>47</v>
      </c>
      <c r="H8" s="12">
        <f>B6+B10*(E7+E10/2)</f>
        <v>290.62</v>
      </c>
      <c r="I8" s="14"/>
      <c r="J8" s="33" t="s">
        <v>23</v>
      </c>
      <c r="K8" s="30">
        <v>0</v>
      </c>
      <c r="L8" s="34">
        <f t="shared" si="0"/>
        <v>0</v>
      </c>
      <c r="M8" s="30"/>
      <c r="N8" s="30"/>
      <c r="O8" s="14"/>
      <c r="P8" s="14"/>
      <c r="Q8" s="14"/>
    </row>
    <row r="9" spans="1:17" ht="14" x14ac:dyDescent="0.2">
      <c r="A9" s="19" t="s">
        <v>59</v>
      </c>
      <c r="B9" s="12">
        <f>(H14+H13)/2</f>
        <v>55.792590363573993</v>
      </c>
      <c r="C9" s="14"/>
      <c r="D9" s="19" t="s">
        <v>48</v>
      </c>
      <c r="E9" s="35">
        <v>70</v>
      </c>
      <c r="F9" s="14"/>
      <c r="G9" s="19" t="s">
        <v>49</v>
      </c>
      <c r="H9" s="12">
        <f>B11*E8</f>
        <v>69.75</v>
      </c>
      <c r="I9" s="14"/>
      <c r="J9" s="33" t="s">
        <v>24</v>
      </c>
      <c r="K9" s="30">
        <v>0</v>
      </c>
      <c r="L9" s="34">
        <f t="shared" si="0"/>
        <v>0</v>
      </c>
      <c r="M9" s="30"/>
      <c r="N9" s="30"/>
      <c r="O9" s="14"/>
      <c r="P9" s="14"/>
      <c r="Q9" s="14"/>
    </row>
    <row r="10" spans="1:17" ht="14" x14ac:dyDescent="0.2">
      <c r="A10" s="19" t="s">
        <v>62</v>
      </c>
      <c r="B10" s="12">
        <v>3.1E-2</v>
      </c>
      <c r="C10" s="14"/>
      <c r="D10" s="19" t="s">
        <v>51</v>
      </c>
      <c r="E10" s="35">
        <v>40</v>
      </c>
      <c r="F10" s="14"/>
      <c r="G10" s="19" t="s">
        <v>52</v>
      </c>
      <c r="H10" s="12">
        <f>H9*B12</f>
        <v>55.800000000000004</v>
      </c>
      <c r="I10" s="14"/>
      <c r="J10" s="33" t="s">
        <v>25</v>
      </c>
      <c r="K10" s="30">
        <v>0</v>
      </c>
      <c r="L10" s="34">
        <f t="shared" si="0"/>
        <v>0</v>
      </c>
      <c r="M10" s="30"/>
      <c r="N10" s="30"/>
      <c r="O10" s="14"/>
      <c r="P10" s="14"/>
      <c r="Q10" s="14"/>
    </row>
    <row r="11" spans="1:17" ht="14" x14ac:dyDescent="0.2">
      <c r="A11" s="19" t="s">
        <v>65</v>
      </c>
      <c r="B11" s="12">
        <v>0.22500000000000001</v>
      </c>
      <c r="C11" s="14"/>
      <c r="D11" s="19" t="s">
        <v>54</v>
      </c>
      <c r="E11" s="12">
        <v>40</v>
      </c>
      <c r="F11" s="14"/>
      <c r="G11" s="19" t="s">
        <v>55</v>
      </c>
      <c r="H11" s="12">
        <f>H9*B13</f>
        <v>16.739999999999998</v>
      </c>
      <c r="I11" s="14"/>
      <c r="J11" s="33" t="s">
        <v>26</v>
      </c>
      <c r="K11" s="30">
        <v>0</v>
      </c>
      <c r="L11" s="34">
        <f t="shared" si="0"/>
        <v>0</v>
      </c>
      <c r="M11" s="30"/>
      <c r="N11" s="30"/>
      <c r="O11" s="14"/>
      <c r="P11" s="14"/>
      <c r="Q11" s="14"/>
    </row>
    <row r="12" spans="1:17" ht="14" x14ac:dyDescent="0.2">
      <c r="A12" s="19" t="s">
        <v>67</v>
      </c>
      <c r="B12" s="12">
        <v>0.8</v>
      </c>
      <c r="C12" s="14"/>
      <c r="D12" s="19" t="s">
        <v>57</v>
      </c>
      <c r="E12" s="12">
        <f>4*E9</f>
        <v>280</v>
      </c>
      <c r="F12" s="14"/>
      <c r="G12" s="19" t="s">
        <v>58</v>
      </c>
      <c r="H12" s="12">
        <f>H10/EXP((B17*B18*B19*E7)/(B20*B8*((B21+B26)/2)))</f>
        <v>55.639497549802208</v>
      </c>
      <c r="I12" s="14"/>
      <c r="J12" s="33" t="s">
        <v>27</v>
      </c>
      <c r="K12" s="30">
        <v>0</v>
      </c>
      <c r="L12" s="34">
        <f t="shared" si="0"/>
        <v>0</v>
      </c>
      <c r="M12" s="30"/>
      <c r="N12" s="30"/>
      <c r="O12" s="14"/>
      <c r="P12" s="14"/>
      <c r="Q12" s="14"/>
    </row>
    <row r="13" spans="1:17" ht="14" x14ac:dyDescent="0.2">
      <c r="A13" s="13" t="s">
        <v>70</v>
      </c>
      <c r="B13" s="21">
        <v>0.24</v>
      </c>
      <c r="C13" s="14"/>
      <c r="D13" s="19" t="s">
        <v>60</v>
      </c>
      <c r="E13" s="12">
        <f>0.75*E9</f>
        <v>52.5</v>
      </c>
      <c r="F13" s="14"/>
      <c r="G13" s="19" t="s">
        <v>61</v>
      </c>
      <c r="H13" s="12">
        <f>H12*(H6/B6)^((B17*B18*B19)/(B20*B21*B10))</f>
        <v>55.779342115585003</v>
      </c>
      <c r="I13" s="14"/>
      <c r="J13" s="33" t="s">
        <v>28</v>
      </c>
      <c r="K13" s="30">
        <v>0</v>
      </c>
      <c r="L13" s="34">
        <f t="shared" si="0"/>
        <v>0</v>
      </c>
      <c r="M13" s="30"/>
      <c r="N13" s="30"/>
      <c r="O13" s="14"/>
      <c r="P13" s="14"/>
      <c r="Q13" s="14"/>
    </row>
    <row r="14" spans="1:17" ht="14" x14ac:dyDescent="0.2">
      <c r="A14" s="14"/>
      <c r="B14" s="14"/>
      <c r="C14" s="14"/>
      <c r="D14" s="19" t="s">
        <v>63</v>
      </c>
      <c r="E14" s="12">
        <f>0.25*E9</f>
        <v>17.5</v>
      </c>
      <c r="F14" s="14"/>
      <c r="G14" s="13" t="s">
        <v>64</v>
      </c>
      <c r="H14" s="21">
        <f>H13*EXP((B17*B18*B19*((E10/2)+E11))/(B20*H8*B22))</f>
        <v>55.80583861156299</v>
      </c>
      <c r="I14" s="14"/>
      <c r="J14" s="33" t="s">
        <v>15</v>
      </c>
      <c r="K14" s="30">
        <v>0</v>
      </c>
      <c r="L14" s="34">
        <f t="shared" si="0"/>
        <v>0</v>
      </c>
      <c r="M14" s="30"/>
      <c r="N14" s="30"/>
      <c r="O14" s="14"/>
      <c r="P14" s="14"/>
      <c r="Q14" s="14"/>
    </row>
    <row r="15" spans="1:17" ht="14" x14ac:dyDescent="0.2">
      <c r="A15" s="77" t="s">
        <v>73</v>
      </c>
      <c r="B15" s="78"/>
      <c r="C15" s="14"/>
      <c r="D15" s="19" t="s">
        <v>66</v>
      </c>
      <c r="E15" s="12">
        <f>E10+E13+E14</f>
        <v>110</v>
      </c>
      <c r="F15" s="14"/>
      <c r="G15" s="14"/>
      <c r="H15" s="14"/>
      <c r="I15" s="14"/>
      <c r="J15" s="33" t="s">
        <v>16</v>
      </c>
      <c r="K15" s="30">
        <v>0</v>
      </c>
      <c r="L15" s="34">
        <f t="shared" si="0"/>
        <v>0</v>
      </c>
      <c r="M15" s="30"/>
      <c r="N15" s="30"/>
      <c r="O15" s="14"/>
      <c r="P15" s="14"/>
      <c r="Q15" s="14"/>
    </row>
    <row r="16" spans="1:17" ht="14" x14ac:dyDescent="0.2">
      <c r="A16" s="17" t="s">
        <v>29</v>
      </c>
      <c r="B16" s="18" t="s">
        <v>30</v>
      </c>
      <c r="C16" s="14"/>
      <c r="D16" s="19" t="s">
        <v>68</v>
      </c>
      <c r="E16" s="12">
        <f>E10/E9</f>
        <v>0.5714285714285714</v>
      </c>
      <c r="F16" s="14"/>
      <c r="G16" s="77" t="s">
        <v>69</v>
      </c>
      <c r="H16" s="78"/>
      <c r="I16" s="14"/>
      <c r="J16" s="33" t="s">
        <v>17</v>
      </c>
      <c r="K16" s="30">
        <v>0</v>
      </c>
      <c r="L16" s="34">
        <f t="shared" si="0"/>
        <v>0</v>
      </c>
      <c r="M16" s="30"/>
      <c r="N16" s="30"/>
      <c r="O16" s="14"/>
      <c r="P16" s="14"/>
      <c r="Q16" s="14"/>
    </row>
    <row r="17" spans="1:17" ht="14" x14ac:dyDescent="0.2">
      <c r="A17" s="19" t="s">
        <v>77</v>
      </c>
      <c r="B17" s="12">
        <v>9.8066499999999994</v>
      </c>
      <c r="C17" s="14"/>
      <c r="D17" s="13" t="s">
        <v>71</v>
      </c>
      <c r="E17" s="21">
        <f>2*E9</f>
        <v>140</v>
      </c>
      <c r="F17" s="14"/>
      <c r="G17" s="17" t="s">
        <v>29</v>
      </c>
      <c r="H17" s="18" t="s">
        <v>30</v>
      </c>
      <c r="I17" s="14"/>
      <c r="J17" s="33" t="s">
        <v>18</v>
      </c>
      <c r="K17" s="30">
        <v>0</v>
      </c>
      <c r="L17" s="34">
        <f t="shared" si="0"/>
        <v>0</v>
      </c>
      <c r="M17" s="30"/>
      <c r="N17" s="30"/>
      <c r="O17" s="14"/>
      <c r="P17" s="14"/>
      <c r="Q17" s="14"/>
    </row>
    <row r="18" spans="1:17" ht="14" x14ac:dyDescent="0.2">
      <c r="A18" s="19" t="s">
        <v>80</v>
      </c>
      <c r="B18" s="12">
        <v>2.89652E-2</v>
      </c>
      <c r="C18" s="14"/>
      <c r="D18" s="79" t="s">
        <v>130</v>
      </c>
      <c r="E18" s="79"/>
      <c r="F18" s="14"/>
      <c r="G18" s="19" t="s">
        <v>72</v>
      </c>
      <c r="H18" s="12">
        <f>(B28*B24*B26*B20)/B23</f>
        <v>3797802.1445564842</v>
      </c>
      <c r="I18" s="14"/>
      <c r="J18" s="33" t="s">
        <v>19</v>
      </c>
      <c r="K18" s="30">
        <v>0</v>
      </c>
      <c r="L18" s="34">
        <f t="shared" si="0"/>
        <v>0</v>
      </c>
      <c r="M18" s="30"/>
      <c r="N18" s="30"/>
      <c r="O18" s="14"/>
      <c r="P18" s="14"/>
      <c r="Q18" s="14"/>
    </row>
    <row r="19" spans="1:17" ht="14" x14ac:dyDescent="0.2">
      <c r="A19" s="19" t="s">
        <v>128</v>
      </c>
      <c r="B19" s="12">
        <v>6.9599999999999995E-2</v>
      </c>
      <c r="C19" s="14"/>
      <c r="D19" s="77" t="s">
        <v>74</v>
      </c>
      <c r="E19" s="78"/>
      <c r="F19" s="14"/>
      <c r="G19" s="19" t="s">
        <v>75</v>
      </c>
      <c r="H19" s="12">
        <f>(H14/B23)*(B24/H8)*(B26/B22)*E6</f>
        <v>3797802.1445564837</v>
      </c>
      <c r="I19" s="14"/>
      <c r="J19" s="36" t="s">
        <v>8</v>
      </c>
      <c r="K19" s="37">
        <v>100</v>
      </c>
      <c r="L19" s="38">
        <f t="shared" si="0"/>
        <v>100</v>
      </c>
      <c r="M19" s="30"/>
      <c r="N19" s="30"/>
      <c r="O19" s="14"/>
      <c r="P19" s="14"/>
      <c r="Q19" s="14"/>
    </row>
    <row r="20" spans="1:17" ht="14" x14ac:dyDescent="0.2">
      <c r="A20" s="19" t="s">
        <v>85</v>
      </c>
      <c r="B20" s="12">
        <v>8.3144621000000001</v>
      </c>
      <c r="C20" s="14"/>
      <c r="D20" s="39" t="s">
        <v>29</v>
      </c>
      <c r="E20" s="40" t="s">
        <v>30</v>
      </c>
      <c r="F20" s="14"/>
      <c r="G20" s="13" t="s">
        <v>76</v>
      </c>
      <c r="H20" s="21">
        <f>H19*B27*10^-3</f>
        <v>11640.263573065622</v>
      </c>
      <c r="I20" s="14"/>
      <c r="J20" s="33" t="s">
        <v>5</v>
      </c>
      <c r="K20" s="30">
        <v>0</v>
      </c>
      <c r="L20" s="34">
        <f t="shared" si="0"/>
        <v>0</v>
      </c>
      <c r="M20" s="30"/>
      <c r="N20" s="30"/>
      <c r="O20" s="14"/>
      <c r="P20" s="14"/>
      <c r="Q20" s="14"/>
    </row>
    <row r="21" spans="1:17" ht="14" x14ac:dyDescent="0.2">
      <c r="A21" s="19" t="s">
        <v>88</v>
      </c>
      <c r="B21" s="64">
        <v>1.0342100000000001</v>
      </c>
      <c r="C21" s="41" t="s">
        <v>89</v>
      </c>
      <c r="D21" s="19" t="s">
        <v>78</v>
      </c>
      <c r="E21" s="12">
        <f>E9/2</f>
        <v>35</v>
      </c>
      <c r="F21" s="14"/>
      <c r="G21" s="22" t="s">
        <v>79</v>
      </c>
      <c r="H21" s="23">
        <f>H19*B13</f>
        <v>911472.514693556</v>
      </c>
      <c r="I21" s="14"/>
      <c r="J21" s="33" t="s">
        <v>2</v>
      </c>
      <c r="K21" s="30">
        <v>0</v>
      </c>
      <c r="L21" s="34">
        <f t="shared" si="0"/>
        <v>0</v>
      </c>
      <c r="M21" s="30"/>
      <c r="N21" s="14"/>
      <c r="O21" s="14"/>
      <c r="P21" s="14"/>
      <c r="Q21" s="14"/>
    </row>
    <row r="22" spans="1:17" ht="14" x14ac:dyDescent="0.2">
      <c r="A22" s="19" t="s">
        <v>90</v>
      </c>
      <c r="B22" s="64">
        <v>1.0336799999999999</v>
      </c>
      <c r="C22" s="41" t="s">
        <v>89</v>
      </c>
      <c r="D22" s="19" t="s">
        <v>146</v>
      </c>
      <c r="E22" s="12">
        <f>E10-(E21*2)</f>
        <v>-30</v>
      </c>
      <c r="F22" s="14"/>
      <c r="G22" s="24" t="s">
        <v>82</v>
      </c>
      <c r="H22" s="23">
        <f>(H19-H21)</f>
        <v>2886329.6298629278</v>
      </c>
      <c r="I22" s="14"/>
      <c r="J22" s="33" t="s">
        <v>6</v>
      </c>
      <c r="K22" s="30">
        <v>0</v>
      </c>
      <c r="L22" s="34">
        <f t="shared" si="0"/>
        <v>0</v>
      </c>
      <c r="M22" s="30"/>
      <c r="N22" s="14"/>
      <c r="O22" s="14"/>
      <c r="P22" s="14"/>
      <c r="Q22" s="14"/>
    </row>
    <row r="23" spans="1:17" ht="14" x14ac:dyDescent="0.2">
      <c r="A23" s="19" t="s">
        <v>92</v>
      </c>
      <c r="B23" s="12">
        <v>1.01325</v>
      </c>
      <c r="C23" s="14"/>
      <c r="D23" s="19" t="s">
        <v>140</v>
      </c>
      <c r="E23" s="12">
        <f>PI()*(4/3)*(E21)^2*(E10/2)</f>
        <v>102625.36001726658</v>
      </c>
      <c r="F23" s="14"/>
      <c r="G23" s="24" t="s">
        <v>84</v>
      </c>
      <c r="H23" s="23">
        <f>H22*B27*10^-3</f>
        <v>8846.6003155298731</v>
      </c>
      <c r="I23" s="14"/>
      <c r="J23" s="33" t="s">
        <v>4</v>
      </c>
      <c r="K23" s="30">
        <v>0</v>
      </c>
      <c r="L23" s="34">
        <f t="shared" si="0"/>
        <v>0</v>
      </c>
      <c r="M23" s="30"/>
      <c r="N23" s="30"/>
      <c r="O23" s="14"/>
      <c r="P23" s="14"/>
      <c r="Q23" s="14"/>
    </row>
    <row r="24" spans="1:17" ht="14" x14ac:dyDescent="0.2">
      <c r="A24" s="19" t="s">
        <v>93</v>
      </c>
      <c r="B24" s="12">
        <v>288.14999999999998</v>
      </c>
      <c r="C24" s="14"/>
      <c r="D24" s="13" t="s">
        <v>86</v>
      </c>
      <c r="E24" s="21">
        <v>0.7</v>
      </c>
      <c r="F24" s="14"/>
      <c r="G24" s="26" t="s">
        <v>87</v>
      </c>
      <c r="H24" s="27">
        <f>H23/E6</f>
        <v>0.12314695362462687</v>
      </c>
      <c r="I24" s="14"/>
      <c r="J24" s="33" t="s">
        <v>7</v>
      </c>
      <c r="K24" s="30">
        <v>0</v>
      </c>
      <c r="L24" s="34">
        <f t="shared" si="0"/>
        <v>0</v>
      </c>
      <c r="M24" s="30"/>
      <c r="N24" s="30"/>
      <c r="O24" s="14"/>
      <c r="P24" s="14"/>
      <c r="Q24" s="14"/>
    </row>
    <row r="25" spans="1:17" ht="14" x14ac:dyDescent="0.2">
      <c r="A25" s="19" t="s">
        <v>95</v>
      </c>
      <c r="B25" s="12">
        <f>B24-273.15</f>
        <v>15</v>
      </c>
      <c r="C25" s="14"/>
      <c r="D25" s="14"/>
      <c r="E25" s="48"/>
      <c r="F25" s="14"/>
      <c r="G25" s="14"/>
      <c r="H25" s="14"/>
      <c r="I25" s="14"/>
      <c r="J25" s="33" t="s">
        <v>22</v>
      </c>
      <c r="K25" s="30">
        <v>0</v>
      </c>
      <c r="L25" s="34">
        <f t="shared" si="0"/>
        <v>0</v>
      </c>
      <c r="M25" s="30"/>
      <c r="N25" s="30"/>
      <c r="O25" s="14"/>
      <c r="P25" s="14"/>
      <c r="Q25" s="14"/>
    </row>
    <row r="26" spans="1:17" ht="14" x14ac:dyDescent="0.2">
      <c r="A26" s="19" t="s">
        <v>97</v>
      </c>
      <c r="B26" s="12">
        <v>1.0007130500000001</v>
      </c>
      <c r="C26" s="14"/>
      <c r="D26" s="14"/>
      <c r="E26" s="14"/>
      <c r="F26" s="14"/>
      <c r="G26" s="77" t="s">
        <v>91</v>
      </c>
      <c r="H26" s="78"/>
      <c r="I26" s="14"/>
      <c r="J26" s="33"/>
      <c r="K26" s="30">
        <v>0</v>
      </c>
      <c r="L26" s="34"/>
      <c r="M26" s="30"/>
      <c r="N26" s="30"/>
      <c r="O26" s="14"/>
      <c r="P26" s="14"/>
      <c r="Q26" s="14"/>
    </row>
    <row r="27" spans="1:17" ht="14" x14ac:dyDescent="0.2">
      <c r="A27" s="19" t="s">
        <v>99</v>
      </c>
      <c r="B27" s="12">
        <v>3.0649999999999999</v>
      </c>
      <c r="C27" s="14"/>
      <c r="D27" s="14"/>
      <c r="E27" s="14"/>
      <c r="F27" s="14"/>
      <c r="G27" s="17" t="s">
        <v>29</v>
      </c>
      <c r="H27" s="18" t="s">
        <v>30</v>
      </c>
      <c r="I27" s="14"/>
      <c r="J27" s="33" t="s">
        <v>20</v>
      </c>
      <c r="K27" s="30">
        <v>0</v>
      </c>
      <c r="L27" s="34">
        <f t="shared" ref="L27:L32" si="1">Comp($J$33,$J27)</f>
        <v>0</v>
      </c>
      <c r="M27" s="30"/>
      <c r="N27" s="30"/>
      <c r="O27" s="14"/>
      <c r="P27" s="14"/>
      <c r="Q27" s="14"/>
    </row>
    <row r="28" spans="1:17" ht="14" x14ac:dyDescent="0.2">
      <c r="A28" s="13" t="s">
        <v>101</v>
      </c>
      <c r="B28" s="21">
        <f>(H14*E6)/(B22*H8*B20)</f>
        <v>1605.0427438094503</v>
      </c>
      <c r="C28" s="14"/>
      <c r="D28" s="14"/>
      <c r="E28" s="14"/>
      <c r="F28" s="14"/>
      <c r="G28" s="19" t="s">
        <v>94</v>
      </c>
      <c r="H28" s="12">
        <f>E9+E12*2</f>
        <v>630</v>
      </c>
      <c r="I28" s="14"/>
      <c r="J28" s="33" t="s">
        <v>9</v>
      </c>
      <c r="K28" s="30">
        <v>0</v>
      </c>
      <c r="L28" s="34">
        <f t="shared" si="1"/>
        <v>0</v>
      </c>
      <c r="M28" s="30"/>
      <c r="N28" s="14"/>
      <c r="O28" s="14"/>
      <c r="P28" s="14"/>
      <c r="Q28" s="14"/>
    </row>
    <row r="29" spans="1:17" ht="14" x14ac:dyDescent="0.2">
      <c r="A29" s="14"/>
      <c r="B29" s="41"/>
      <c r="C29" s="14"/>
      <c r="D29" s="77" t="s">
        <v>141</v>
      </c>
      <c r="E29" s="78"/>
      <c r="F29" s="14"/>
      <c r="G29" s="19" t="s">
        <v>96</v>
      </c>
      <c r="H29" s="12">
        <f>E9+E12*4</f>
        <v>1190</v>
      </c>
      <c r="I29" s="14"/>
      <c r="J29" s="33" t="s">
        <v>10</v>
      </c>
      <c r="K29" s="30">
        <v>0</v>
      </c>
      <c r="L29" s="34">
        <f t="shared" si="1"/>
        <v>0</v>
      </c>
      <c r="M29" s="30"/>
      <c r="N29" s="30"/>
      <c r="O29" s="14"/>
      <c r="P29" s="14"/>
      <c r="Q29" s="14"/>
    </row>
    <row r="30" spans="1:17" ht="15" thickBot="1" x14ac:dyDescent="0.25">
      <c r="A30" s="44"/>
      <c r="B30" s="41"/>
      <c r="C30" s="14"/>
      <c r="D30" s="16" t="s">
        <v>29</v>
      </c>
      <c r="E30" s="28" t="s">
        <v>30</v>
      </c>
      <c r="F30" s="14"/>
      <c r="G30" s="19" t="s">
        <v>98</v>
      </c>
      <c r="H30" s="35">
        <v>1000</v>
      </c>
      <c r="I30" s="14"/>
      <c r="J30" s="33" t="s">
        <v>11</v>
      </c>
      <c r="K30" s="30">
        <v>0</v>
      </c>
      <c r="L30" s="34">
        <f t="shared" si="1"/>
        <v>0</v>
      </c>
      <c r="M30" s="30"/>
      <c r="N30" s="30"/>
      <c r="O30" s="14"/>
      <c r="P30" s="14"/>
      <c r="Q30" s="14"/>
    </row>
    <row r="31" spans="1:17" ht="14" x14ac:dyDescent="0.2">
      <c r="A31" s="45" t="s">
        <v>105</v>
      </c>
      <c r="B31" s="14"/>
      <c r="C31" s="14"/>
      <c r="D31" s="19" t="s">
        <v>137</v>
      </c>
      <c r="E31" s="11">
        <f>(B8 - 273.15) * 9/5 + 32</f>
        <v>51.449000000000012</v>
      </c>
      <c r="F31" s="14"/>
      <c r="G31" s="13" t="s">
        <v>100</v>
      </c>
      <c r="H31" s="21">
        <f>(H30/H28)*3</f>
        <v>4.7619047619047619</v>
      </c>
      <c r="I31" s="14"/>
      <c r="J31" s="33" t="s">
        <v>12</v>
      </c>
      <c r="K31" s="30">
        <v>0</v>
      </c>
      <c r="L31" s="34">
        <f t="shared" si="1"/>
        <v>0</v>
      </c>
      <c r="M31" s="30"/>
      <c r="N31" s="30"/>
      <c r="O31" s="14"/>
      <c r="P31" s="14"/>
      <c r="Q31" s="14"/>
    </row>
    <row r="32" spans="1:17" ht="14" x14ac:dyDescent="0.2">
      <c r="A32" s="46" t="s">
        <v>114</v>
      </c>
      <c r="B32" s="14"/>
      <c r="C32" s="14"/>
      <c r="D32" s="19" t="s">
        <v>112</v>
      </c>
      <c r="E32" s="11">
        <f>B9*14.504</f>
        <v>809.21573063327719</v>
      </c>
      <c r="F32" s="14"/>
      <c r="G32" s="22" t="s">
        <v>102</v>
      </c>
      <c r="H32" s="25">
        <f>ROUNDDOWN(H31, 0)</f>
        <v>4</v>
      </c>
      <c r="I32" s="14"/>
      <c r="J32" s="32" t="s">
        <v>13</v>
      </c>
      <c r="K32" s="31">
        <v>0</v>
      </c>
      <c r="L32" s="42">
        <f t="shared" si="1"/>
        <v>0</v>
      </c>
      <c r="O32" s="14"/>
      <c r="P32" s="14"/>
      <c r="Q32" s="14"/>
    </row>
    <row r="33" spans="1:17" ht="15" thickBot="1" x14ac:dyDescent="0.25">
      <c r="A33" s="47" t="s">
        <v>107</v>
      </c>
      <c r="B33" s="14"/>
      <c r="C33" s="14"/>
      <c r="D33" s="19" t="s">
        <v>138</v>
      </c>
      <c r="E33" s="12">
        <f>(H8 - 273.15) * 9/5 + 32</f>
        <v>63.446000000000048</v>
      </c>
      <c r="F33" s="14"/>
      <c r="G33" s="24" t="s">
        <v>103</v>
      </c>
      <c r="H33" s="25">
        <f>H32^2</f>
        <v>16</v>
      </c>
      <c r="I33" s="14"/>
      <c r="J33" s="66" t="str">
        <f>FluidString($J$5:$J$32,K$5:K$32)</f>
        <v>Hydrogen;100</v>
      </c>
      <c r="K33" s="65" t="s">
        <v>21</v>
      </c>
      <c r="L33" s="65">
        <f>SUM(L5:L32)</f>
        <v>100</v>
      </c>
      <c r="M33" s="30"/>
      <c r="N33" s="30"/>
      <c r="O33" s="14"/>
      <c r="P33" s="14"/>
      <c r="Q33" s="14"/>
    </row>
    <row r="34" spans="1:17" ht="14" x14ac:dyDescent="0.2">
      <c r="A34" s="10"/>
      <c r="B34" s="14"/>
      <c r="C34" s="14"/>
      <c r="D34" s="13" t="s">
        <v>111</v>
      </c>
      <c r="E34" s="13">
        <f>H14*14.504</f>
        <v>809.4078832221096</v>
      </c>
      <c r="F34" s="14"/>
      <c r="G34" s="24" t="s">
        <v>104</v>
      </c>
      <c r="H34" s="23">
        <f>H23*H33</f>
        <v>141545.60504847797</v>
      </c>
      <c r="I34" s="14"/>
      <c r="J34" s="14"/>
      <c r="K34" s="14"/>
      <c r="L34" s="14"/>
      <c r="M34" s="14"/>
      <c r="N34" s="14"/>
      <c r="O34" s="14"/>
      <c r="P34" s="14"/>
      <c r="Q34" s="14"/>
    </row>
    <row r="35" spans="1:17" ht="14" x14ac:dyDescent="0.2">
      <c r="A35" s="14" t="s">
        <v>108</v>
      </c>
      <c r="B35" s="14"/>
      <c r="C35" s="14"/>
      <c r="D35" s="19" t="s">
        <v>88</v>
      </c>
      <c r="E35" s="62">
        <f>ZDetail($J$33,$E$31,$E$32)</f>
        <v>1.0342100000000001</v>
      </c>
      <c r="F35" s="14"/>
      <c r="G35" s="26" t="s">
        <v>106</v>
      </c>
      <c r="H35" s="27">
        <f>H34*10^-6</f>
        <v>0.14154560504847796</v>
      </c>
      <c r="I35" s="14"/>
      <c r="J35" s="14" t="s">
        <v>132</v>
      </c>
      <c r="K35" s="14"/>
      <c r="L35" s="14"/>
      <c r="M35" s="14"/>
      <c r="N35" s="14"/>
      <c r="O35" s="14"/>
      <c r="P35" s="14"/>
      <c r="Q35" s="14"/>
    </row>
    <row r="36" spans="1:17" ht="14" x14ac:dyDescent="0.2">
      <c r="A36" s="48" t="s">
        <v>109</v>
      </c>
      <c r="B36" s="14"/>
      <c r="C36" s="14"/>
      <c r="D36" s="13" t="s">
        <v>90</v>
      </c>
      <c r="E36" s="63">
        <f>ZDetail($J$33,$E$33,$E$34)</f>
        <v>1.0336799999999999</v>
      </c>
      <c r="F36" s="14"/>
      <c r="G36" s="14"/>
      <c r="H36" s="14"/>
      <c r="I36" s="14"/>
      <c r="J36" s="30" t="s">
        <v>143</v>
      </c>
      <c r="K36" s="14"/>
      <c r="L36" s="14"/>
      <c r="M36" s="14"/>
      <c r="N36" s="14"/>
      <c r="O36" s="14"/>
      <c r="P36" s="14"/>
      <c r="Q36" s="14"/>
    </row>
    <row r="37" spans="1:17" ht="14" x14ac:dyDescent="0.2">
      <c r="A37" s="29" t="s">
        <v>110</v>
      </c>
      <c r="B37" s="14"/>
      <c r="C37" s="14"/>
      <c r="D37" s="50"/>
      <c r="E37" s="50"/>
      <c r="F37" s="14"/>
      <c r="G37" s="77" t="s">
        <v>117</v>
      </c>
      <c r="H37" s="78"/>
      <c r="I37" s="14"/>
      <c r="J37" s="14" t="s">
        <v>139</v>
      </c>
      <c r="K37" s="14"/>
      <c r="L37" s="14"/>
      <c r="M37" s="14"/>
      <c r="N37" s="14"/>
      <c r="O37" s="14"/>
      <c r="P37" s="14"/>
      <c r="Q37" s="14"/>
    </row>
    <row r="38" spans="1:17" ht="14" x14ac:dyDescent="0.2">
      <c r="A38" s="53" t="s">
        <v>147</v>
      </c>
      <c r="B38" s="14"/>
      <c r="C38" s="14"/>
      <c r="D38" s="51"/>
      <c r="E38" s="51"/>
      <c r="F38" s="14"/>
      <c r="G38" s="54" t="s">
        <v>29</v>
      </c>
      <c r="H38" s="28" t="s">
        <v>30</v>
      </c>
      <c r="I38" s="14"/>
      <c r="J38" s="30" t="s">
        <v>142</v>
      </c>
      <c r="K38" s="14"/>
      <c r="L38" s="14"/>
      <c r="M38" s="14"/>
      <c r="N38" s="14"/>
      <c r="O38" s="14"/>
      <c r="P38" s="14"/>
      <c r="Q38" s="14"/>
    </row>
    <row r="39" spans="1:17" ht="14" x14ac:dyDescent="0.2">
      <c r="A39" s="14"/>
      <c r="B39" s="14"/>
      <c r="C39" s="14"/>
      <c r="D39" s="51"/>
      <c r="E39" s="51"/>
      <c r="F39" s="14"/>
      <c r="G39" s="56" t="s">
        <v>119</v>
      </c>
      <c r="H39" s="11" t="s">
        <v>120</v>
      </c>
      <c r="I39" s="14"/>
      <c r="J39" s="61" t="s">
        <v>131</v>
      </c>
      <c r="K39" s="14"/>
      <c r="L39" s="14"/>
      <c r="M39" s="14"/>
      <c r="N39" s="14"/>
      <c r="O39" s="14"/>
      <c r="P39" s="14"/>
      <c r="Q39" s="14"/>
    </row>
    <row r="40" spans="1:17" ht="14" x14ac:dyDescent="0.2">
      <c r="A40" s="14"/>
      <c r="B40" s="14"/>
      <c r="C40" s="14"/>
      <c r="D40" s="10"/>
      <c r="E40" s="10"/>
      <c r="F40" s="14"/>
      <c r="G40" s="56" t="s">
        <v>51</v>
      </c>
      <c r="H40" s="11" t="s">
        <v>121</v>
      </c>
      <c r="I40" s="14"/>
      <c r="J40" s="14"/>
      <c r="K40" s="14"/>
      <c r="L40" s="14"/>
      <c r="M40" s="14"/>
      <c r="N40" s="14"/>
      <c r="O40" s="14"/>
      <c r="P40" s="14"/>
      <c r="Q40" s="14"/>
    </row>
    <row r="41" spans="1:17" ht="14" x14ac:dyDescent="0.2">
      <c r="A41" s="14"/>
      <c r="B41" s="14"/>
      <c r="C41" s="14"/>
      <c r="D41" s="14"/>
      <c r="E41" s="14"/>
      <c r="F41" s="14"/>
      <c r="G41" s="56" t="s">
        <v>122</v>
      </c>
      <c r="H41" s="11">
        <v>70</v>
      </c>
      <c r="I41" s="14"/>
      <c r="J41" s="14"/>
      <c r="K41" s="14"/>
      <c r="L41" s="14"/>
      <c r="M41" s="14"/>
      <c r="N41" s="14"/>
      <c r="O41" s="14"/>
      <c r="P41" s="14"/>
      <c r="Q41" s="14"/>
    </row>
    <row r="42" spans="1:17" ht="14" x14ac:dyDescent="0.2">
      <c r="A42" s="14"/>
      <c r="B42" s="14"/>
      <c r="C42" s="14"/>
      <c r="D42" s="14"/>
      <c r="E42" s="14"/>
      <c r="F42" s="14"/>
      <c r="G42" s="56" t="s">
        <v>123</v>
      </c>
      <c r="H42" s="57">
        <v>70000</v>
      </c>
      <c r="I42" s="14"/>
      <c r="J42" s="14"/>
      <c r="K42" s="14"/>
      <c r="L42" s="14"/>
      <c r="M42" s="14"/>
      <c r="N42" s="14"/>
      <c r="O42" s="14"/>
      <c r="P42" s="14"/>
      <c r="Q42" s="14"/>
    </row>
    <row r="43" spans="1:17" ht="14" x14ac:dyDescent="0.2">
      <c r="A43" s="14"/>
      <c r="B43" s="14"/>
      <c r="C43" s="14"/>
      <c r="D43" s="14"/>
      <c r="E43" s="14"/>
      <c r="F43" s="14"/>
      <c r="G43" s="56" t="s">
        <v>124</v>
      </c>
      <c r="H43" s="11" t="s">
        <v>125</v>
      </c>
      <c r="I43" s="14"/>
      <c r="J43" s="14"/>
      <c r="K43" s="14"/>
      <c r="L43" s="14"/>
      <c r="M43" s="14"/>
      <c r="N43" s="14"/>
      <c r="O43" s="14"/>
      <c r="P43" s="14"/>
      <c r="Q43" s="14"/>
    </row>
    <row r="44" spans="1:17" ht="14" x14ac:dyDescent="0.2">
      <c r="A44" s="14"/>
      <c r="B44" s="14"/>
      <c r="C44" s="14"/>
      <c r="D44" s="14"/>
      <c r="E44" s="14"/>
      <c r="F44" s="14"/>
      <c r="G44" s="56" t="s">
        <v>126</v>
      </c>
      <c r="H44" s="11">
        <v>3</v>
      </c>
      <c r="I44" s="14"/>
      <c r="J44" s="14"/>
      <c r="K44" s="14"/>
      <c r="L44" s="14"/>
      <c r="M44" s="14"/>
      <c r="N44" s="14"/>
      <c r="O44" s="14"/>
      <c r="P44" s="14"/>
      <c r="Q44" s="14"/>
    </row>
    <row r="45" spans="1:17" ht="14" x14ac:dyDescent="0.2">
      <c r="A45" s="14"/>
      <c r="B45" s="14"/>
      <c r="C45" s="14"/>
      <c r="D45" s="14"/>
      <c r="E45" s="14"/>
      <c r="F45" s="14"/>
      <c r="G45" s="58" t="s">
        <v>127</v>
      </c>
      <c r="H45" s="59">
        <v>25</v>
      </c>
      <c r="I45" s="14"/>
      <c r="J45" s="14"/>
      <c r="K45" s="14"/>
      <c r="L45" s="14"/>
      <c r="M45" s="14"/>
      <c r="N45" s="14"/>
      <c r="O45" s="14"/>
      <c r="P45" s="14"/>
      <c r="Q45" s="14"/>
    </row>
    <row r="46" spans="1:17" ht="14" x14ac:dyDescent="0.2">
      <c r="A46" s="14"/>
      <c r="B46" s="14"/>
      <c r="C46" s="14"/>
      <c r="D46" s="14"/>
      <c r="E46" s="14"/>
      <c r="F46" s="14"/>
      <c r="G46" s="72" t="s">
        <v>145</v>
      </c>
      <c r="H46" s="73">
        <f>(H23*10^-3)*3</f>
        <v>26.539800946589619</v>
      </c>
      <c r="I46" s="14"/>
      <c r="J46" s="14"/>
      <c r="K46" s="14"/>
      <c r="L46" s="14"/>
      <c r="M46" s="14"/>
      <c r="N46" s="14"/>
      <c r="O46" s="14"/>
      <c r="P46" s="14"/>
      <c r="Q46" s="14"/>
    </row>
    <row r="47" spans="1:17" ht="14" x14ac:dyDescent="0.2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</row>
    <row r="48" spans="1:17" ht="14" x14ac:dyDescent="0.2">
      <c r="A48" s="14"/>
      <c r="B48" s="14"/>
      <c r="C48" s="14"/>
      <c r="D48" s="14"/>
      <c r="E48" s="14"/>
      <c r="F48" s="14"/>
      <c r="G48" s="10"/>
      <c r="H48" s="14"/>
      <c r="I48" s="14"/>
      <c r="J48" s="14"/>
      <c r="K48" s="14"/>
      <c r="L48" s="14"/>
      <c r="M48" s="14"/>
      <c r="N48" s="14"/>
      <c r="O48" s="14"/>
      <c r="P48" s="14"/>
      <c r="Q48" s="14"/>
    </row>
    <row r="49" spans="1:17" ht="14" x14ac:dyDescent="0.2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</row>
    <row r="50" spans="1:17" ht="14" x14ac:dyDescent="0.2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</row>
    <row r="51" spans="1:17" ht="14" x14ac:dyDescent="0.2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</row>
    <row r="52" spans="1:17" ht="14" x14ac:dyDescent="0.2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</row>
    <row r="53" spans="1:17" ht="14" x14ac:dyDescent="0.2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</row>
    <row r="54" spans="1:17" ht="14" x14ac:dyDescent="0.2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</row>
  </sheetData>
  <mergeCells count="11">
    <mergeCell ref="J3:L3"/>
    <mergeCell ref="A3:B3"/>
    <mergeCell ref="D3:E3"/>
    <mergeCell ref="G3:H3"/>
    <mergeCell ref="G37:H37"/>
    <mergeCell ref="A15:B15"/>
    <mergeCell ref="G16:H16"/>
    <mergeCell ref="D18:E18"/>
    <mergeCell ref="D19:E19"/>
    <mergeCell ref="G26:H26"/>
    <mergeCell ref="D29:E29"/>
  </mergeCells>
  <hyperlinks>
    <hyperlink ref="A37" r:id="rId1" xr:uid="{37CD0699-C364-6249-BAE0-5A0591BFDA08}"/>
    <hyperlink ref="J39" r:id="rId2" xr:uid="{E5AF53E5-7AD5-2C49-A519-8884FB9D5B10}"/>
    <hyperlink ref="A38" r:id="rId3" xr:uid="{ECC20DBD-5AF2-404E-84F9-C2B8C5B653F0}"/>
  </hyperlinks>
  <pageMargins left="0.7" right="0.7" top="0.75" bottom="0.75" header="0.3" footer="0.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B5DE9-6148-FE42-A8A4-5740CEFA466E}">
  <sheetPr codeName="Sheet3"/>
  <dimension ref="A16:B22"/>
  <sheetViews>
    <sheetView zoomScale="75" zoomScaleNormal="75" workbookViewId="0">
      <selection activeCell="A29" sqref="A29"/>
    </sheetView>
  </sheetViews>
  <sheetFormatPr baseColWidth="10" defaultRowHeight="13" x14ac:dyDescent="0.15"/>
  <cols>
    <col min="1" max="1" width="28.5" bestFit="1" customWidth="1"/>
  </cols>
  <sheetData>
    <row r="16" spans="1:1" ht="14" x14ac:dyDescent="0.2">
      <c r="A16" s="14" t="s">
        <v>133</v>
      </c>
    </row>
    <row r="17" spans="1:2" ht="14" x14ac:dyDescent="0.2">
      <c r="A17" s="14" t="s">
        <v>134</v>
      </c>
    </row>
    <row r="18" spans="1:2" ht="14" x14ac:dyDescent="0.2">
      <c r="A18" s="14"/>
    </row>
    <row r="19" spans="1:2" ht="14" x14ac:dyDescent="0.2">
      <c r="A19" s="14" t="s">
        <v>135</v>
      </c>
      <c r="B19" s="53"/>
    </row>
    <row r="20" spans="1:2" ht="16" x14ac:dyDescent="0.2">
      <c r="A20" s="52" t="s">
        <v>109</v>
      </c>
    </row>
    <row r="21" spans="1:2" ht="14" x14ac:dyDescent="0.2">
      <c r="A21" s="29" t="s">
        <v>110</v>
      </c>
    </row>
    <row r="22" spans="1:2" x14ac:dyDescent="0.15">
      <c r="A22" s="53" t="s">
        <v>147</v>
      </c>
    </row>
  </sheetData>
  <hyperlinks>
    <hyperlink ref="A21" r:id="rId1" xr:uid="{62B13361-17AF-F449-B444-95963C833893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OFFSHORE</vt:lpstr>
      <vt:lpstr>ONSHORE</vt:lpstr>
      <vt:lpstr>User Instructions</vt:lpstr>
    </vt:vector>
  </TitlesOfParts>
  <Manager/>
  <Company/>
  <LinksUpToDate>false</LinksUpToDate>
  <SharedDoc>false</SharedDoc>
  <HyperlinkBase>https://doi.org/10.1144/SP528-2022-82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H2 Salt Cavern Storage Capacity Calculator</dc:title>
  <dc:subject/>
  <dc:creator>Craig Allsop</dc:creator>
  <cp:keywords/>
  <dc:description>Salt cavern H2 storage thermodynamic equations.</dc:description>
  <cp:lastModifiedBy>CRAIG ALLSOP</cp:lastModifiedBy>
  <cp:lastPrinted>2016-05-23T22:16:25Z</cp:lastPrinted>
  <dcterms:created xsi:type="dcterms:W3CDTF">2014-09-18T15:23:20Z</dcterms:created>
  <dcterms:modified xsi:type="dcterms:W3CDTF">2023-06-15T10:38:28Z</dcterms:modified>
  <cp:category/>
</cp:coreProperties>
</file>